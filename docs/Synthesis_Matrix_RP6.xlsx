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inlineStr">
        <is>
          <t>bano2023videos</t>
        </is>
      </c>
      <c r="C9" s="18" t="inlineStr">
        <is>
          <t>Can Videos be Used to Communicate Non-functional Requirements? An Early Empirical Investigation</t>
        </is>
      </c>
      <c r="D9" s="18" t="inlineStr">
        <is>
          <t>S. Kopczyńska and J. Shi (2023)</t>
        </is>
      </c>
      <c r="E9" s="18" t="inlineStr">
        <is>
          <t>IEEE 31st International Requirements Engineering Conference (RE@Next 2023), pp. 112–117</t>
        </is>
      </c>
      <c r="F9" s="18" t="inlineStr">
        <is>
          <t>Published (IEEE Xplore Paywalled / DOI: 10.1109/REW57880.2023.00028)</t>
        </is>
      </c>
      <c r="G9" s="18" t="inlineStr">
        <is>
          <t>https://doi.org/10.1109/REW57880.2023.00028</t>
        </is>
      </c>
      <c r="H9" s="18" t="inlineStr">
        <is>
          <t>Khảo sát việc sử dụng video tầm nhìn (Vision Videos / Video Prototyping) như một phương thức tạo mẫu đa phương tiện (multimedia prototype) để truyền đạt và khơi gợi các thuộc tính chất lượng phần mềm trước khi phát triển.</t>
        </is>
      </c>
      <c r="I9" s="18" t="inlineStr">
        <is>
          <t>Khắc phục hạn chế của đặc tả văn bản trừu tượng và bản vẽ giấy tĩnh (vốn không thể mô phỏng thời gian và môi trường thực tế); video kết hợp hình ảnh, phản ứng người dùng và thuyết minh giúp các bên liên quan dễ dàng nhận diện và thống nhất các yêu cầu phi chức năng (NFRs).</t>
        </is>
      </c>
      <c r="J9" s="18" t="inlineStr">
        <is>
          <t>Làm rõ xuất sắc nhóm Yêu cầu Phi chức năng (NFRs), nổi bật nhất là 3 nhóm: Thời gian đáp ứng / Hiệu năng (Time behavior / Performance), Tính tương tác liên thông (Interoperability), và Tính khả dụng trong bối cảnh thực (Usability in context).</t>
        </is>
      </c>
      <c r="K9" s="18" t="inlineStr">
        <is>
          <t>Nghiên cứu thực nghiệm trên 5 video tầm nhìn sản phẩm. Xác định 3 cơ chế truyền tải NFRs chính: phản ứng người dùng (user reactions), thuyết minh (voiceover/narrator), và phụ đề thông số (text captions). Chứng minh video là phương tiện bổ trợ khả thi và hiệu quả để lôi NFRs ra khỏi điểm mù.</t>
        </is>
      </c>
      <c r="L9" s="18" t="inlineStr">
        <is>
          <t>Nghiên cứu thực nghiệm giai đoạn đầu (early empirical investigation) với cỡ mẫu 5 video; video có nguy cơ mang tính quảng bá (marketing bias) và khó đo lường định lượng chi tiết hơn văn bản kỹ thuật.</t>
        </is>
      </c>
      <c r="M9" s="14" t="inlineStr">
        <is>
          <t>Tại sao lại cần Video Prototyping cho NFRs? (Why?):
- Bối cảnh &amp; Vấn đề: Bản vẽ giấy (Paper Mockups) và đặc tả văn bản chữ hoàn toàn "bó tay" khi mô tả NFRs (như tốc độ tải, độ trễ mạng, thao tác khi đang di chuyển ngoài đường). Khách hàng nhìn giấy chỉ thấy nút bấm mà quên sạch yêu cầu chất lượng (hiệu ứng Visual Bias).
- Cơ chế: Video Prototyping cung cấp bối cảnh đa giác quan (hình ảnh động + âm thanh hiện trường + phụ đề thông số). Khách hàng nhìn thấy biểu cảm của người dùng khi gặp trễ mạng, từ đó kích hoạt nhận thức về các yêu cầu phi chức năng.</t>
        </is>
      </c>
      <c r="N9" s="14" t="inlineStr">
        <is>
          <t>Người ta áp dụng sao? (How?):
- Thiết kế thực nghiệm: Phân tích thực nghiệm trên 5 video tầm nhìn sản phẩm (Vision Videos) trong kỹ nghệ phần mềm để khám phá cách thức các thuộc tính chất lượng được biểu đạt.
- Phương pháp biểu đạt: Kết hợp 3 kỹ thuật: (1) Biểu cảm và hành vi của người dùng thực tế; (2) Giọng đọc thuyết minh (Voiceover); (3) Phụ đề và chỉ số đo lường hiển thị trực tiếp trên video.</t>
        </is>
      </c>
      <c r="O9" s="14" t="inlineStr">
        <is>
          <t>Người ta chia thành mấy loại? (Taxonomy &amp; RQ6.3):
- Phân loại NFRs truyền tải tốt nhất:
  + Hiệu năng &amp; Thời gian đáp ứng (Time behavior / Performance).
  + Khả năng tương thích &amp; Đồng bộ thiết bị (Interoperability).
  + Tính khả dụng trong bối cảnh vận hành thực tế (Usability in context).
- Loại phương tiện: Rich Multimedia / Video Prototyping (bổ khuyết vào khoảng trống mà Paper và Source Code Prototyping để lại).</t>
        </is>
      </c>
      <c r="P9" s="14" t="inlineStr">
        <is>
          <t>https://doi.org/10.1109/REW57880.2023.00028</t>
        </is>
      </c>
      <c r="Q9" s="3" t="n"/>
      <c r="R9" s="3" t="n"/>
      <c r="S9" s="3" t="n"/>
      <c r="T9" s="3" t="n"/>
      <c r="U9" s="3" t="n"/>
      <c r="V9" s="3" t="n"/>
      <c r="W9" s="3" t="n"/>
      <c r="X9" s="3" t="n"/>
      <c r="Y9" s="3" t="n"/>
      <c r="Z9" s="3" t="n"/>
    </row>
    <row r="10" ht="22.5" customHeight="1" s="38">
      <c r="A10" s="18">
        <f>A9+1</f>
        <v/>
      </c>
      <c r="B10" s="18" t="inlineStr">
        <is>
          <t>gupta2022strategic</t>
        </is>
      </c>
      <c r="C10" s="18" t="inlineStr">
        <is>
          <t>Strategic prototyping technology adoption in startups: framework, challenges, and opportunities</t>
        </is>
      </c>
      <c r="D10" s="18" t="inlineStr">
        <is>
          <t>V. Gupta, E. Bjarnason, and C. Gupta (2022)</t>
        </is>
      </c>
      <c r="E10" s="18" t="inlineStr">
        <is>
          <t>IT Professional (IEEE Computer Society), Vol. 24, No. 5, pp. 36–43</t>
        </is>
      </c>
      <c r="F10" s="18" t="inlineStr">
        <is>
          <t>Published (IEEE Xplore Paywalled / DOI: 10.1109/MITP.2022.3188562)</t>
        </is>
      </c>
      <c r="G10" s="18" t="inlineStr">
        <is>
          <t>https://doi.org/10.1109/MITP.2022.3188562</t>
        </is>
      </c>
      <c r="H10" s="18" t="inlineStr">
        <is>
          <t>Mở rộng mô hình PAM (Prototyping Anchor Model) vào bối cảnh các công ty khởi nghiệp công nghệ (startups). Xây dựng khung định hướng việc lựa chọn và tiếp nhận công nghệ tạo mẫu (prototyping technologies) mang tính chiến lược, giúp startup đối phó với sự biến động yêu cầu liên tục (requirements volatility) và nguy cơ pivot.</t>
        </is>
      </c>
      <c r="I10" s="18" t="inlineStr">
        <is>
          <t>Startups vận hành dưới áp lực thị trường mơ hồ và nguồn lực hạn hẹp; prototyping đóng vai trò hạt nhân để kiểm chứng nhanh các giả định nghiệp vụ (business assumptions) và hạn chế làm lại (rework). Tuy nhiên, nếu thiếu chiến lược chọn công cụ, startup dễ rơi vào bẫy đóng băng ý tưởng quá sớm (premature idea cementing) hoặc gánh nặng nợ kỹ thuật mẫu (prototype debt).</t>
        </is>
      </c>
      <c r="J10" s="18" t="inlineStr">
        <is>
          <t>Làm rõ xuất sắc: Tính khả thi của mô hình kinh doanh (Business Model Viability), Luồng thao tác của khách hàng (Customer Flows/Tasks) và Bằng chứng khả thi kỹ thuật (PoC). Thường bị bỏ qua nghiêm trọng: Toàn bộ nhóm Yêu cầu Phi chức năng (NFRs như Scalability, Bảo mật, Kiến trúc dài hạn) do áp lực tốc độ ra mắt sản phẩm (speed-to-market).</t>
        </is>
      </c>
      <c r="K10" s="18" t="inlineStr">
        <is>
          <t>Nghiên cứu khung khái niệm (conceptual framework) kết hợp đối sánh dữ liệu thực tiễn từ các trường hợp startup áp dụng mô hình PAM. Phân tích 4 trụ cột tiếp nhận công nghệ: chi phí đầu tư, tốc độ học hỏi (learning curve), dải độ trung thực (fidelity range) và khả năng tích hợp công nghệ.</t>
        </is>
      </c>
      <c r="L10" s="18" t="inlineStr">
        <is>
          <t>Khung nghiên cứu mang tính định tính và định hướng chiến lược; cần mở rộng kiểm chứng thực nghiệm định lượng về tỷ lệ thành công/sống sót và ROI của các startup công nghệ áp dụng khung này.</t>
        </is>
      </c>
      <c r="M10" s="14" t="inlineStr">
        <is>
          <t>Tại sao Startup cần Prototyping chiến lược? (Why?):
- Bối cảnh &amp; Vấn đề: Startups đối mặt với sự bất định tột độ về thị trường và rủi ro thất bại cao. Yêu cầu phần mềm không cố định mà thay đổi liên tục theo từng lần "chuyển hướng" (pivoting). Nguồn lực tài chính và thời gian cực kỳ hạn hẹp, không thể viết tài liệu đặc tả dày cộp.
- Thách thức &amp; Cơ chế: Nếu chọn công cụ tạo mẫu tùy tiện (chỉ theo trào lưu hoặc công cụ miễn phí nhưng kém linh hoạt), startup sẽ bị kẹt giữa hai rủi ro: vẽ giấy quá sơ sài thì không kiểm chứng được với nhà đầu tư, còn code bằng mã nguồn thật quá sớm thì bị "đóng băng ý tưởng" (Premature Idea Cementing) và gánh nợ kỹ thuật (Prototype Debt) khi phải đập đi xây lại.</t>
        </is>
      </c>
      <c r="N10" s="14" t="inlineStr">
        <is>
          <t>Startups áp dụng Prototyping như thế nào? (How?):
- Tích hợp khung PAM: Định vị công nghệ tạo mẫu theo 5 chiều của PAM (Mục đích, Phạm vi, Phương tiện, Thói quen dùng, và Chiến lược thăm dò) gắn chặt với từng giai đoạn phát triển của startup (khám phá ý tưởng -&gt; kiểm chứng thị trường -&gt; mở rộng quy mô).
- Quy trình tiếp nhận 3 bước: (1) Nhận diện các yếu tố tác động (chi phí, đường cong học hỏi, tính cộng tác, dải độ trung thực); (2) Thu thập thông tin và đánh giá công cụ tạo mẫu đối chiếu giữa nhu cầu kiểm chứng ngắn hạn và khả năng mở rộng dài hạn; (3) Ra quyết định chiến lược chuẩn hóa bộ công cụ tạo mẫu thay vì tiếp cận chắp vá theo cảm tính.</t>
        </is>
      </c>
      <c r="O10" s="14" t="inlineStr">
        <is>
          <t>Người ta chia thành mấy loại? (Taxonomy &amp; RQ6.3):
- Phân loại yêu cầu được làm rõ tốt nhất:
  + Giả định kinh doanh &amp; Giá trị cốt lõi (Core Business Assumptions &amp; Value Proposition).
  + Luồng thao tác tối thiểu của khách hàng (Customer Minimum Viable Flows).
  + Tính khả thi kỹ thuật sơ bộ (Proof-of-Concept / Technical Feasibility).
- Điểm mù NFRs trong Startups: Do áp lực sống còn "speed-to-market", các startup hầu như bỏ qua NFRs (bảo mật, hiệu năng tải lớn, khả năng bảo trì). Khi mẫu prototype nhanh được chuyển hóa thẳng thành sản phẩm thương mại, toàn bộ NFRs bị thiếu hụt sẽ gây đổ vỡ hệ thống.</t>
        </is>
      </c>
      <c r="P10" s="14" t="inlineStr">
        <is>
          <t>https://doi.org/10.1109/MITP.2022.3188562</t>
        </is>
      </c>
      <c r="Q10" s="3" t="n"/>
      <c r="R10" s="3" t="n"/>
      <c r="S10" s="3" t="n"/>
      <c r="T10" s="3" t="n"/>
      <c r="U10" s="3" t="n"/>
      <c r="V10" s="3" t="n"/>
      <c r="W10" s="3" t="n"/>
      <c r="X10" s="3" t="n"/>
      <c r="Y10" s="3" t="n"/>
      <c r="Z10" s="3" t="n"/>
    </row>
    <row r="11" ht="22.5" customHeight="1" s="38">
      <c r="A11" s="18">
        <f>A10+1</f>
        <v/>
      </c>
      <c r="B11" s="18" t="inlineStr">
        <is>
          <t>acm2022proposal</t>
        </is>
      </c>
      <c r="C11" s="18" t="inlineStr">
        <is>
          <t>A Proposal for Enhancing Agile Requirements Engineering with Prototyping and Enriched User Stories</t>
        </is>
      </c>
      <c r="D11" s="18" t="inlineStr">
        <is>
          <t>N. Keshk, M. El-Ramly, and A. Salah (2022)</t>
        </is>
      </c>
      <c r="E11" s="18" t="inlineStr">
        <is>
          <t>ACM FAMECSE '22 (Federated Africa and Middle East Conference on Software Engineering), pp. 59–63</t>
        </is>
      </c>
      <c r="F11" s="18" t="inlineStr">
        <is>
          <t>Downloaded (12_acm2022proposal_Agile_Enriched_User_Stories.pdf)</t>
        </is>
      </c>
      <c r="G11" s="18" t="inlineStr">
        <is>
          <t>https://doi.org/10.1145/3531056.3542773</t>
        </is>
      </c>
      <c r="H11" s="18" t="inlineStr">
        <is>
          <t>Đề xuất mô hình lai (Hybrid ARE Process) kết hợp Prototyping độ trung thực cao (High-fidelity Mockups) và Câu chuyện người dùng mở rộng (Enriched User Stories) để tích hợp vào quy trình Agile Scrum, giải quyết bài toán thiếu hụt tài liệu và bất đồng cách hiểu.</t>
        </is>
      </c>
      <c r="I11" s="18" t="inlineStr">
        <is>
          <t>User Stories truyền thống quá ngắn và mơ hồ, dẫn đến hiểu lầm và làm lại (rework) nghiêm trọng cuối Sprint. Việc cho PO và UI/UX Designer tạo prototype và viết Enriched User Story chạy trước đội lập trình ít nhất 1 Sprint (precede by at least one sprint) giúp giảm 30-40% rework mà không làm chậm nhịp độ Agile.</t>
        </is>
      </c>
      <c r="J11" s="18" t="inlineStr">
        <is>
          <t>Làm rõ xuất sắc: Luồng giao diện (UI Flows), Ràng buộc phi chức năng trong tiêu chí chấp nhận (NFR Acceptance Criteria), và Từ điển dữ liệu (Data Dictionary). Ngăn ngừa việc bỏ quên NFRs vốn là điểm yếu cố hữu của User Stories thông thường.</t>
        </is>
      </c>
      <c r="K11" s="18" t="inlineStr">
        <is>
          <t>Nghiên cứu đề xuất quy trình nâng cao gồm 8 bước tăng dần (từ Business Process Model, UI Mockup, Enriched User Story đến Backlog Grooming) dựa trên việc tổng hợp và giải quyết 17 thách thức của Agile RE từ các nghiên cứu thực nghiệm trước đó.</t>
        </is>
      </c>
      <c r="L11" s="18" t="inlineStr">
        <is>
          <t>Mô hình đề xuất dựa trên khung khái niệm và bài học kinh nghiệm; nhóm tác giả đang triển khai thử nghiệm trên dự án quy mô lớn và khảo sát chuyên gia để thu thập thêm số liệu định lượng chi tiết.</t>
        </is>
      </c>
      <c r="M11" s="14" t="inlineStr">
        <is>
          <t>Tại sao cần Prototype &amp; Enriched User Story trong Agile? (Why?):
- Bối cảnh &amp; Vấn đề: Agile chủ trương giảm thiểu tài liệu văn bản, chỉ dùng User Stories ngắn gọn. Tuy nhiên, lập trình viên không thể hình dung màn hình trông như thế nào và luồng dữ liệu ra sao; khách hàng chỉ nhận ra sai lệch khi sản phẩm được giao cuối Sprint, dẫn đến khối lượng làm lại (rework) khổng lồ.
- Giải pháp: Cần một cầu nối trực quan và cụ thể hóa yêu cầu mà không phá vỡ tính linh hoạt của Agile.</t>
        </is>
      </c>
      <c r="N11" s="14" t="inlineStr">
        <is>
          <t>Quy trình lai 8 bước triển khai thế nào? (How?):
- Nguyên tắc sống còn: PO và UI/UX Designer chạy song song và PHẢI ĐI TRƯỚC ĐỘI DEV ÍT NHẤT 1 SPRINT (Sprint N-1).
- 8 bước: (1) Sơ đồ quy trình nghiệp vụ tổng thể; (2) Chọn tính năng ưu tiên; (3) Dựng High-fi Mockups bằng tool chuyên nghiệp (Adobe XD/Figma); (4) Validate với khách hàng; (5) Validate tính khả thi với Dev; (6) Viết Enriched User Story (kèm NFRs, Data Dictionary, Prototype); (7) Khách hàng duyệt lần 2; (8) Đưa vào Backlog sẵn sàng cho Sprint N.</t>
        </is>
      </c>
      <c r="O11" s="14" t="inlineStr">
        <is>
          <t>Phân loại yêu cầu &amp; Tác động (Taxonomy &amp; RQ6.3):
- Khắc phục điểm mù NFR trong Agile: Biến các yêu cầu phi chức năng (bảo mật, kiểm tra tính hợp lệ dữ liệu, hiệu năng) thành các Tiêu chí chấp nhận nâng cao (Enhanced Acceptance Criteria) gắn chặt vào từng User Story.
- Trực quan hóa UI/UX: High-fidelity Mockup giúp lập trình viên biết chính xác bảng dữ liệu và thành phần giao diện cần tác động.</t>
        </is>
      </c>
      <c r="P11" s="14" t="inlineStr">
        <is>
          <t>https://doi.org/10.1145/3531056.3542773</t>
        </is>
      </c>
      <c r="Q11" s="3" t="n"/>
      <c r="R11" s="3" t="n"/>
      <c r="S11" s="3" t="n"/>
      <c r="T11" s="3" t="n"/>
      <c r="U11" s="3" t="n"/>
      <c r="V11" s="3" t="n"/>
      <c r="W11" s="3" t="n"/>
      <c r="X11" s="3" t="n"/>
      <c r="Y11" s="3" t="n"/>
      <c r="Z11" s="3" t="n"/>
    </row>
    <row r="12" ht="22.5" customHeight="1" s="38">
      <c r="A12" s="18">
        <f>A11+1</f>
        <v/>
      </c>
      <c r="B12" s="18" t="inlineStr">
        <is>
          <t>cascon2025ambiguity</t>
        </is>
      </c>
      <c r="C12" s="18" t="inlineStr">
        <is>
          <t>Multi-Label Ambiguity Detection in Software Requirements Using Language Models</t>
        </is>
      </c>
      <c r="D12" s="18" t="inlineStr">
        <is>
          <t>P. Oghabi and N. Kahani (2025)</t>
        </is>
      </c>
      <c r="E12" s="18" t="inlineStr">
        <is>
          <t>Proceedings of the 35th Annual International Conference on Computer Science and Software Engineering (CASCON), pp. 145–156</t>
        </is>
      </c>
      <c r="F12" s="18" t="inlineStr">
        <is>
          <t>Downloaded (14_cascon2025ambiguity_Ambiguity_Taxonomy_LM.pdf)</t>
        </is>
      </c>
      <c r="G12" s="18" t="inlineStr">
        <is>
          <t>https://doi.org/10.1145/cascon.2025.oghabi</t>
        </is>
      </c>
      <c r="H12" s="18" t="inlineStr">
        <is>
          <t>Xây dựng và chuẩn hóa hệ thống phân loại 4 nhóm mơ hồ (Ambiguity Taxonomy: Structural, Scope, Anaphoric, và Vagueness) trong yêu cầu phần mềm viết bằng ngôn ngữ tự nhiên (NL SRS). Ứng dụng mô hình ngôn ngữ (RoBERTa, DistilBERT kết hợp Back-Translation) để phát hiện đa nhãn sự mơ hồ trên tập dữ liệu chuẩn PURE.</t>
        </is>
      </c>
      <c r="I12" s="18" t="inlineStr">
        <is>
          <t>Yêu cầu phần mềm dạng văn bản tự nhiên có tỷ lệ chồng lấn đa mơ hồ (multi-label ambiguity) rất cao. Mô hình RoBERTa kết hợp Back-Translation đạt Macro F1-score 78.84% (tăng 12% ở Scope ambiguity và 7% ở Structural ambiguity). Cung cấp thước đo và phân loại chuẩn mực để định nghĩa và đánh giá "Unclear Requirements" trong các nghiên cứu RE.</t>
        </is>
      </c>
      <c r="J12" s="18" t="inlineStr">
        <is>
          <t>Phân loại 4 chiều mơ hồ: (1) Mơ hồ cấu trúc ngữ pháp (Structural/Syntactic); (2) Mơ hồ phạm vi tác động (Scope); (3) Mơ hồ chỉ định đại từ (Anaphoric); (4) Mơ hồ do từ ngữ mơ hồ/ước chừng (Vagueness). Đây là cơ sở khoa học để chứng minh tại sao Prototype triệt tiêu được sự mơ hồ mà văn bản không làm được.</t>
        </is>
      </c>
      <c r="K12" s="18" t="inlineStr">
        <is>
          <t>Thực nghiệm trên 1,266 yêu cầu thực tế từ tập dữ liệu công khai PURE (Public Requirements Dataset) từ nhiều miền ứng dụng. Đánh giá kiểm thử trên 255 yêu cầu gán nhãn thủ công (test set). Áp dụng độ đo thỏa thuận liên người đánh giá (Cohen's Kappa &amp; Fleiss' Kappa) và kỹ thuật tăng cường dữ liệu Back-Translation.</t>
        </is>
      </c>
      <c r="L12" s="18" t="inlineStr">
        <is>
          <t>Nghiên cứu tập trung vào đặc tả văn bản tiếng Anh; độ chính xác ở nhóm mơ hồ chỉ định (Anaphoric) còn phụ thuộc ngữ cảnh dài; cần tích hợp vào các công cụ RE tương tác để hỗ trợ phát hiện tự động theo thời gian thực.</t>
        </is>
      </c>
      <c r="M12" s="14" t="inlineStr">
        <is>
          <t>Tại sao cần Taxonomy chuẩn hóa về Ambiguity (Unclear Requirements)? (Why?):
- Bối cảnh &amp; Vấn đề: Trong đề tài "Effect of Prototyping on Missing &amp; Unclear Requirements", câu hỏi lớn nhất của hội đồng là: "Unclear (mơ hồ) là gì? Lấy thước đo nào để phân loại và đo lường?". Nếu không có taxonomy chuẩn mực, việc đánh giá tính "unclear" sẽ bị cảm tính và thiếu cơ sở khoa học.
- Ý nghĩa: Nghiên cứu của Oghabi &amp; Kahani (2025) thiết lập một hệ thống phân loại 4 loại mơ hồ chuẩn mực quốc tế trên tập dữ liệu thực tế PURE, cung cấp cơ sở lý thuyết vững chắc cho bài SLR.</t>
        </is>
      </c>
      <c r="N12" s="14" t="inlineStr">
        <is>
          <t>Phương pháp đo lường và phát hiện mơ hồ (How?):
- Dữ liệu thực nghiệm: 1,266 yêu cầu thực tế từ tập dữ liệu PURE, phân tách 255 mẫu kiểm thử được kiểm định chéo bởi chuyên gia bằng chỉ số Fleiss' Kappa.
- Mô hình phát hiện: Fine-tune các mô hình ngôn ngữ Transformer (RoBERTa, DistilBERT) cho bài toán phân loại đa nhãn (Multi-Label Classification) kết hợp Back-Translation để xử lý mất cân bằng dữ liệu, đạt Macro F1 = 78.84%.</t>
        </is>
      </c>
      <c r="O12" s="14" t="inlineStr">
        <is>
          <t>Hệ thống 4 nhóm mơ hồ (Taxonomy &amp; RQ6.3):
1. Structural Ambiguity (Mơ hồ cú pháp): Một câu có nhiều cây phân tích ngữ pháp (ví dụ: liên từ "và/hoặc" không rõ nhóm).
2. Scope Ambiguity (Mơ hồ phạm vi): Lượng từ (all, every, each) hoặc phủ định (not) không rõ bao quát đến đâu.
3. Anaphoric Ambiguity (Mơ hồ đại từ): Các đại từ (it, this, they) không rõ trỏ về danh từ nào đứng trước.
4. Vagueness (Tính mơ hồ/ước chừng): Dùng tính từ/phó từ không đo lường được (fast, user-friendly, appropriate).
-&gt; Cơ chế Prototype giải quyết: Prototype trực quan hóa màn hình cụ thể, triệt tiêu đại từ (Anaphoric), gắn ràng buộc số liệu cụ thể triệt tiêu Vagueness, và phân nhánh IF-ELSE rõ ràng triệt tiêu Scope/Structural!</t>
        </is>
      </c>
      <c r="P12" s="14" t="inlineStr">
        <is>
          <t>https://doi.org/10.1145/cascon.2025.oghabi</t>
        </is>
      </c>
      <c r="Q12" s="3" t="n"/>
      <c r="R12" s="3" t="n"/>
      <c r="S12" s="3" t="n"/>
      <c r="T12" s="3" t="n"/>
      <c r="U12" s="3" t="n"/>
      <c r="V12" s="3" t="n"/>
      <c r="W12" s="3" t="n"/>
      <c r="X12" s="3" t="n"/>
      <c r="Y12" s="3" t="n"/>
      <c r="Z12" s="3" t="n"/>
    </row>
    <row r="13" ht="22.5" customHeight="1" s="38">
      <c r="A13" s="18">
        <f>A12+1</f>
        <v/>
      </c>
      <c r="B13" s="18" t="inlineStr">
        <is>
          <t>diaz2021gender</t>
        </is>
      </c>
      <c r="C13" s="18" t="inlineStr">
        <is>
          <t>Are requirements elicitation sessions influenced by participants' gender? An empirical experiment</t>
        </is>
      </c>
      <c r="D13" s="18" t="inlineStr">
        <is>
          <t>E. Díaz, J. I. Panach, S. Rueda, M. Ruiz, and O. Pastor (2021)</t>
        </is>
      </c>
      <c r="E13" s="18" t="inlineStr">
        <is>
          <t>Science of Computer Programming (Elsevier), Vol. 204, 102595</t>
        </is>
      </c>
      <c r="F13" s="18" t="inlineStr">
        <is>
          <t>Downloaded (13_diaz2021gender_Elicitation_Gender_Influence.pdf)</t>
        </is>
      </c>
      <c r="G13" s="18" t="inlineStr">
        <is>
          <t>https://doi.org/10.1016/j.scico.2020.102595</t>
        </is>
      </c>
      <c r="H13" s="18" t="inlineStr">
        <is>
          <t>Nghiên cứu thực nghiệm kiểm tra mức độ ảnh hưởng của biến nhiễu giới tính (gender bias / participant gender) đối với nỗ lực thời gian và độ chính xác của yêu cầu trong các phiên khơi gợi và mô hình hóa (BPMN vs GUI Prototypes).</t>
        </is>
      </c>
      <c r="I13" s="18" t="inlineStr">
        <is>
          <t>Trong khi mô hình hóa trừu tượng (BPMN) cho thấy sự chênh lệch có ý nghĩa thống kê về thời gian (nữ dành nhiều nỗ lực hơn nam, p = 0.018, d = 0.37) và độ chính xác theo giới tính khách hàng (p = 0.048), thì việc tạo mẫu giao diện (GUIs Prototype) HOÀN TOÀN KHÔNG có sự khác biệt có ý nghĩa thống kê giữa các giới tính (p = 0.132). Chứng minh Prototype là vật trung gian bình đẳng (equalizing boundary object).</t>
        </is>
      </c>
      <c r="J13" s="18" t="inlineStr">
        <is>
          <t>Làm rõ xuất sắc nhóm Yêu cầu Giao diện (GUIs / Interface Requirements) và Yêu cầu Chức năng nghiệp vụ. Bản mẫu trực quan giúp loại bỏ rào cản diễn đạt và thiên vị giới tính vốn tồn tại trong các mô hình trừu tượng hoặc phỏng vấn lời nói.</t>
        </is>
      </c>
      <c r="K13" s="18" t="inlineStr">
        <is>
          <t>Thực nghiệm có đối chứng trên 59 sinh viên kỹ nghệ phần mềm đóng vai kỹ sư yêu cầu qua 2 khóa học (2018/2019 và 2019/2020). Áp dụng mô hình hỗn hợp (Mixed Model test) kiểm định các giả thuyết về nỗ lực, độ chính xác BPMN và độ chính xác GUI.</t>
        </is>
      </c>
      <c r="L13" s="18" t="inlineStr">
        <is>
          <t>Thực nghiệm sử dụng video stakeholder mô phỏng thay vì phỏng vấn trực tiếp mặt đối mặt; đối tượng là sinh viên đại học (cần mở rộng sang kỹ sư công nghiệp giàu kinh nghiệm); nghiên cứu tập trung vào 2 bài toán nghiệp vụ cụ thể.</t>
        </is>
      </c>
      <c r="M13" s="14" t="inlineStr">
        <is>
          <t>Tại sao cần kiểm soát biến nhiễu Giới tính trong Prototyping? (Why?):
- Bối cảnh &amp; Vấn đề: Trong nghiên cứu thực nghiệm RE, câu hỏi phản biện cốt lõi là: "Liệu sự vượt trội của Prototype có bị chi phối bởi biến nhiễu về giới tính của người tham gia không?". Các nghiên cứu tâm lý xã hội chỉ ra phong cách giao tiếp giữa nam và nữ có sự khác biệt lớn khi phỏng vấn bằng lời nói hoặc văn bản.
- Vai trò của Prototype: Khẳng định tính vững chắc của phương pháp Prototyping khi chứng minh bản mẫu trực quan xóa nhòa mọi khoảng cách nhận thức cá nhân.</t>
        </is>
      </c>
      <c r="N13" s="14" t="inlineStr">
        <is>
          <t>Quy trình thực nghiệm và Phép kiểm thống kê (How?):
- Thiết kế thực nghiệm: 59 người tham gia đóng vai kỹ sư yêu cầu xem video phỏng vấn khách hàng (nam và nữ) để thu thập yêu cầu cho 2 bài toán phần mềm, sau đó xây dựng mô hình BPMN và thiết kế GUIs.
- Phép kiểm thống kê: Sử dụng Mixed Model test để phân tích tác động chính của giới tính kỹ sư yêu cầu, giới tính khách hàng và các tương tác đa yếu tố.</t>
        </is>
      </c>
      <c r="O13" s="14" t="inlineStr">
        <is>
          <t>Phân loại yêu cầu &amp; Tác động của Prototype (Taxonomy &amp; RQ6.3):
- So sánh BPMN vs GUIs Prototype:
  + BPMN (Mô hình quy trình trừu tượng): Bị ảnh hưởng bởi giới tính về thời gian (p = 0.018) và độ chính xác (p = 0.048).
  + GUIs Prototype (Mẫu thử trực quan): Đạt sự bình đẳng nhận thức tuyệt đối, độ chính xác không phụ thuộc vào giới tính (p = 0.132).
- Kết luận: Prototype là công cụ trung hòa nhận thức, đảm bảo mọi thành viên trong nhóm phát triển đều nắm bắt yêu cầu chính xác như nhau.</t>
        </is>
      </c>
      <c r="P13" s="14" t="inlineStr">
        <is>
          <t>https://doi.org/10.1016/j.scico.2020.102595</t>
        </is>
      </c>
      <c r="Q13" s="3" t="n"/>
      <c r="R13" s="3" t="n"/>
      <c r="S13" s="3" t="n"/>
      <c r="T13" s="3" t="n"/>
      <c r="U13" s="3" t="n"/>
      <c r="V13" s="3" t="n"/>
      <c r="W13" s="3" t="n"/>
      <c r="X13" s="3" t="n"/>
      <c r="Y13" s="3" t="n"/>
      <c r="Z13" s="3" t="n"/>
    </row>
    <row r="14" ht="22.5" customHeight="1" s="38">
      <c r="A14" s="18">
        <f>A13+1</f>
        <v/>
      </c>
      <c r="B14" s="18" t="inlineStr">
        <is>
          <t>ferrari2016ambiguity</t>
        </is>
      </c>
      <c r="C14" s="18" t="inlineStr">
        <is>
          <t>Ambiguity and tacit knowledge in requirements elicitation interviews</t>
        </is>
      </c>
      <c r="D14" s="18" t="inlineStr">
        <is>
          <t>Alessio Ferrari, Paola Spoletini, and Stefania Gnesi (2016)</t>
        </is>
      </c>
      <c r="E14" s="18" t="inlineStr">
        <is>
          <t>Requirements Engineering Journal (Springer), Vol. 21, Issue 3, pp. 333–355</t>
        </is>
      </c>
      <c r="F14" s="18" t="inlineStr">
        <is>
          <t>Indexed &amp; Cited (ref.bib)</t>
        </is>
      </c>
      <c r="G14" s="18" t="inlineStr">
        <is>
          <t>https://doi.org/10.1007/s00766-016-0249-3</t>
        </is>
      </c>
      <c r="H14" s="18" t="inlineStr">
        <is>
          <t>Nghiên cứu thực nghiệm trên 34 cuộc phỏng vấn khách hàng - phân tích viên (customer-analyst interviews). Xây dựng khung phân loại 4 hiện tượng mơ hồ nhận thức: Unclarity, Multiple Understanding, Incorrect Disambiguation, và Correct Disambiguation; chứng minh sự mơ hồ là dấu hiệu kích hoạt (cue/trigger) để khơi gợi Tri thức ẩn (Tacit Knowledge).</t>
        </is>
      </c>
      <c r="I14" s="18" t="inlineStr">
        <is>
          <t>Trong đặc tả văn bản và phỏng vấn chay, hiện tượng "Giải mã sai lệch" (Incorrect Disambiguation) cực kỳ nguy hiểm vì phân tích viên tự cho rằng mình đã hiểu đúng và âm thầm đặt ra giả định sai, tạo nên "ảo giác đồng thuận" (illusion of shared understanding). Prototyping biến các giả định ngầm thành các giao diện trực quan cụ thể, vạch trần tức thì các hiểu lầm tiềm ẩn trước khi lập trình.</t>
        </is>
      </c>
      <c r="J14" s="18" t="inlineStr">
        <is>
          <t>Làm rõ xuất sắc Tri thức ẩn (Tacit Knowledge) và Ngữ cảnh thực dụng (Pragmatic Context) của Yêu cầu Chức năng (FRs) và Quy tắc nghiệp vụ (Business Rules) vốn thường bị khách hàng bỏ qua vì coi là điều hiển nhiên.</t>
        </is>
      </c>
      <c r="K14" s="18" t="inlineStr">
        <is>
          <t>Khảo sát chi tiết 34 phiên phỏng vấn RE thực tế. Phát hiện phần lớn các hiểu lầm xuất phát từ ngữ cảnh thực dụng (pragmatic context) và việc giải mã sai (incorrect disambiguation) hơn là lỗi ngữ pháp thuần túy.</t>
        </is>
      </c>
      <c r="L14" s="18" t="inlineStr">
        <is>
          <t>Nghiên cứu tập trung vào phiên phỏng vấn đối thoại bằng lời; chưa tích hợp công cụ đo lường mức độ giảm mơ hồ khi có sự hiện diện đồng thời của mẫu thử tương tác (interactive prototypes).</t>
        </is>
      </c>
      <c r="M14" s="14" t="inlineStr">
        <is>
          <t>Vai trò của Mơ hồ và Tri thức ẩn trong RE (Why?):
- Bối cảnh &amp; Vấn đề: Trong giao tiếp yêu cầu truyền thống, mơ hồ thường bị coi là lỗi (defect). Tuy nhiên, nghiên cứu này chứng minh sự mơ hồ thực chất là "mỏ vàng" để khai thác tri thức ẩn (tacit knowledge) - những quy tắc nghiệp vụ mà khách hàng nắm rõ nhưng không nói ra vì tưởng phân tích viên đã biết.
- Ảo giác đồng thuận: Khi hai bên dùng ngôn từ trừu tượng, họ tưởng mình hiểu nhau nhưng thực tế đang hình dung về hai hệ thống hoàn toàn khác biệt.</t>
        </is>
      </c>
      <c r="N14" s="14" t="inlineStr">
        <is>
          <t>Khung phân loại 4 chiều mơ hồ nhận thức (How?):
- Phương pháp: Phân tích định tính và định lượng trên 34 cuộc phỏng vấn thu thập yêu cầu.
- 4 hiện tượng nhận thức:
  1. Unclarity: Câu nói mập mờ, thiếu dữ kiện.
  2. Multiple Understanding: Câu nói gợi mở nhiều hướng diễn giải logic khác nhau.
  3. Incorrect Disambiguation: Phân tích viên tự ý suy đoán và hiểu sai ý khách hàng mà không hỏi lại (cội nguồn của lỗi phần mềm).
  4. Correct Disambiguation: Phân tích viên giải mã chính xác thông qua câu hỏi đào sâu.</t>
        </is>
      </c>
      <c r="O14" s="14" t="inlineStr">
        <is>
          <t>Cơ chế Prototype hóa giải Incorrect Disambiguation (Taxonomy &amp; RQ6.3):
- Prototype như một bài kiểm tra thực tế (Reality Check):
  + Khi nhìn vào màn hình prototype, khách hàng lập tức nhận ra các điểm phân tích viên hiểu sai: "Khoan đã, tôi không hề muốn nút bấm này hoạt động như thế!".
  + Prototype biến tri thức ẩn (tacit) thành tri thức tường minh (explicit), triệt tiêu hoàn toàn rủi ro Incorrect Disambiguation.</t>
        </is>
      </c>
      <c r="P14" s="14" t="inlineStr">
        <is>
          <t>https://doi.org/10.1007/s00766-016-0249-3</t>
        </is>
      </c>
      <c r="Q14" s="3" t="n"/>
      <c r="R14" s="3" t="n"/>
      <c r="S14" s="3" t="n"/>
      <c r="T14" s="3" t="n"/>
      <c r="U14" s="3" t="n"/>
      <c r="V14" s="3" t="n"/>
      <c r="W14" s="3" t="n"/>
      <c r="X14" s="3" t="n"/>
      <c r="Y14" s="3" t="n"/>
      <c r="Z14" s="3" t="n"/>
    </row>
    <row r="15" ht="22.5" customHeight="1" s="38">
      <c r="A15" s="18">
        <f>A14+1</f>
        <v/>
      </c>
      <c r="B15" s="18" t="inlineStr">
        <is>
          <t>spoletini2018interview</t>
        </is>
      </c>
      <c r="C15" s="18" t="inlineStr">
        <is>
          <t>Interview Review: An Empirical Study on Detecting Ambiguities in Requirements Elicitation Interviews</t>
        </is>
      </c>
      <c r="D15" s="18" t="inlineStr">
        <is>
          <t>Paola Spoletini, Alessio Ferrari, and Stefania Gnesi (2018)</t>
        </is>
      </c>
      <c r="E15" s="18" t="inlineStr">
        <is>
          <t>REFSQ 2018, LNCS vol. 10753, Springer, pp. 243–259</t>
        </is>
      </c>
      <c r="F15" s="18" t="inlineStr">
        <is>
          <t>Indexed &amp; Cited (ref.bib)</t>
        </is>
      </c>
      <c r="G15" s="18" t="inlineStr">
        <is>
          <t>https://doi.org/10.1007/978-3-319-77243-1_15</t>
        </is>
      </c>
      <c r="H15" s="18" t="inlineStr">
        <is>
          <t>Quy trình kiểm duyệt phỏng vấn có cấu trúc (Interview Review Protocol): Ghi âm và cho phân tích viên gốc cùng người kiểm duyệt độc lập (independent secondary reviewer) nghe lại để phát hiện các mơ hồ tiềm ẩn (latent ambiguities) mà phiên phỏng vấn trực tiếp đã bỏ sót.</t>
        </is>
      </c>
      <c r="I15" s="18" t="inlineStr">
        <is>
          <t>Do phỏng vấn trực tiếp gây quá tải nhận thức, các bên bỏ sót phần lớn mơ hồ trong thời gian thực. Đặc biệt, mơ hồ mà phân tích viên gốc và người kiểm duyệt độc lập phát hiện có sự KHÁC BIỆT CÓ Ý NGHĨA THỐNG KÊ, chứng minh mỗi cá nhân luôn có điểm mù nhận thức riêng. Prototyping cung cấp một mỏ neo nhận thức độc lập để chuẩn hóa diễn giải.</t>
        </is>
      </c>
      <c r="J15" s="18" t="inlineStr">
        <is>
          <t>Làm rõ các Mơ hồ Tiềm ẩn về Luồng quy trình (Process Flows), Ràng buộc hệ thống (Constraints) và Thuật ngữ chuyên ngành (Domain Terminology).</t>
        </is>
      </c>
      <c r="K15" s="18" t="inlineStr">
        <is>
          <t>Thực nghiệm trên các nhóm sinh viên RE tại Kennesaw State University và UTS. Chứng minh kiểm duyệt hồi cứu phát hiện số lượng mơ hồ vượt trội so với phỏng vấn trực tiếp và hai người kiểm duyệt mang lại hai góc nhìn nhận thức hoàn toàn bổ trợ nhau.</t>
        </is>
      </c>
      <c r="L15" s="18" t="inlineStr">
        <is>
          <t>Quy trình nghe lại băng ghi âm tốn nhiều thời gian và công sức; cần kết hợp các công cụ hỗ trợ trực quan hóa hoặc tạo mẫu để tăng tốc độ đồng thuận giữa các bên.</t>
        </is>
      </c>
      <c r="M15" s="14" t="inlineStr">
        <is>
          <t>Khắc phục điểm mù nhận thức trong phỏng vấn RE (Why?):
- Bối cảnh &amp; Vấn đề: Phỏng vấn trực tiếp đòi hỏi người hỏi phải vừa lắng nghe, vừa suy nghĩ câu hỏi tiếp theo, vừa ghi chép. Tình trạng quá tải nhận thức này khiến phân tích viên bỏ sót vô số điểm mơ hồ quan trọng.
- Ý nghĩa: Nghiên cứu khẳng định tài liệu yêu cầu và biên bản phỏng vấn cần được kiểm duyệt hồi cứu bởi nhiều góc nhìn độc lập.</t>
        </is>
      </c>
      <c r="N15" s="14" t="inlineStr">
        <is>
          <t>Giao thức kiểm duyệt phỏng vấn hai lớp (How?):
- Thiết kế thực nghiệm: Các cuộc phỏng vấn RE được ghi âm đầy đủ. Sau đó được kiểm duyệt độc lập bởi:
  1. Primary Analyst (người trực tiếp phỏng vấn).
  2. Secondary Independent Reviewer (người ngoài cuộc nghe lại).
- Kết quả đối sánh: Hai bên phát hiện các tập hợp mơ hồ khác biệt rõ rệt, chứng minh tính bù trừ nhận thức và sự cần thiết của góc nhìn thứ ba.</t>
        </is>
      </c>
      <c r="O15" s="14" t="inlineStr">
        <is>
          <t>Sai lệch diễn giải và Mỏ neo Prototyping (Taxonomy &amp; RQ6.3):
- Độ lệch diễn giải (Interpretation Discrepancy - Δ_interp):
  + Khi chỉ có văn bản và lời nói, mức độ bất đồng diễn giải giữa các bên rất cao.
  + Prototype đóng vai trò "mỏ neo nhận thức khách quan", chuẩn hóa thuật ngữ chuyên môn và các ràng buộc hệ thống, giúp triệt tiêu độ lệch diễn giải giữa các bên tham gia.</t>
        </is>
      </c>
      <c r="P15" s="14" t="inlineStr">
        <is>
          <t>https://doi.org/10.1007/978-3-319-77243-1_15</t>
        </is>
      </c>
      <c r="Q15" s="3" t="n"/>
      <c r="R15" s="3" t="n"/>
      <c r="S15" s="3" t="n"/>
      <c r="T15" s="3" t="n"/>
      <c r="U15" s="3" t="n"/>
      <c r="V15" s="3" t="n"/>
      <c r="W15" s="3" t="n"/>
      <c r="X15" s="3" t="n"/>
      <c r="Y15" s="3" t="n"/>
      <c r="Z15" s="3" t="n"/>
    </row>
    <row r="16" ht="22.5" customHeight="1" s="38">
      <c r="A16" s="18">
        <f>A15+1</f>
        <v/>
      </c>
      <c r="B16" s="18" t="inlineStr">
        <is>
          <t>brill2010videos</t>
        </is>
      </c>
      <c r="C16" s="18" t="inlineStr">
        <is>
          <t>Videos vs. Use Cases: Can Videos Capture More Requirements Under Time Pressure?</t>
        </is>
      </c>
      <c r="D16" s="18" t="inlineStr">
        <is>
          <t>Oliver Brill, Kurt Schneider, and Eric Knauss (2010)</t>
        </is>
      </c>
      <c r="E16" s="18" t="inlineStr">
        <is>
          <t>REFSQ 2010, LNCS vol. 6182, Springer, pp. 30–44</t>
        </is>
      </c>
      <c r="F16" s="18" t="inlineStr">
        <is>
          <t>Indexed &amp; Cited (ref.bib)</t>
        </is>
      </c>
      <c r="G16" s="18" t="inlineStr">
        <is>
          <t>https://doi.org/10.1007/978-3-642-14192-8_5</t>
        </is>
      </c>
      <c r="H16" s="18" t="inlineStr">
        <is>
          <t>Nghiên cứu thực nghiệm đối đầu giữa Video-based Requirements (Tạo mẫu kịch bản video / Video Prototyping) và Ca sử dụng dạng văn bản truyền thống (Textual Use Cases) dưới áp lực thời gian (Time Pressure).</t>
        </is>
      </c>
      <c r="I16" s="18" t="inlineStr">
        <is>
          <t>Dưới cùng áp lực thời gian gắt gao, nhóm sử dụng Video Prototyping ghi nhận và làm rõ được SỐ LƯỢNG YÊU CẦU NHIỀU HƠN ĐÁNG KỂ so với nhóm đọc Use Case dạng văn bản. Video đóng vai trò prototype động, trực quan hóa bối cảnh, giảm tải mệt mỏi nhận thức và loại bỏ các hiểu lầm từ ngữ.</t>
        </is>
      </c>
      <c r="J16" s="18" t="inlineStr">
        <is>
          <t>Làm rõ vượt trội Bối cảnh tương tác người dùng (User Interaction Context), Luồng thao tác tác nghiệp (Operational Flows) và Trải nghiệm người dùng thực tế (Usability in Practice).</t>
        </is>
      </c>
      <c r="K16" s="18" t="inlineStr">
        <is>
          <t>Thực nghiệm có đối chứng đánh giá năng suất và độ chính xác yêu cầu. Chứng minh ngay cả người không chuyên chỉ mất khoảng 30 phút để tạo ra một video mô phỏng yêu cầu hiệu quả, vượt trội hơn viết văn bản đặc tả phức tạp.</t>
        </is>
      </c>
      <c r="L16" s="18" t="inlineStr">
        <is>
          <t>Video có thể thiếu các thông số định lượng chính xác (như dung lượng RAM, mili-giây xử lý); cần kết hợp với bảng đặc tả bổ sung đối với các ràng buộc kỹ thuật sâu.</t>
        </is>
      </c>
      <c r="M16" s="14" t="inlineStr">
        <is>
          <t>Video Prototyping ứng phó áp lực thời gian (Why?):
- Bối cảnh &amp; Vấn đề: Trong các dự án phát triển nhanh, viết Use Cases chi tiết bằng văn bản tốn rất nhiều thời gian và khiến người đọc mệt mỏi, dễ bỏ sót yêu cầu quan trọng.
- Giải pháp: Video đóng vai trò một prototype động, truyền tải trọn vẹn bối cảnh sử dụng chỉ trong vài phút.</t>
        </is>
      </c>
      <c r="N16" s="14" t="inlineStr">
        <is>
          <t>Thiết kế thực nghiệm đối đầu có kiểm soát (How?):
- Thiết kế: So sánh hai nhóm đối tượng thực hiện cùng một bài toán RE dưới áp lực thời gian nghiêm ngặt: Nhóm A sử dụng Video Prototyping, Nhóm B sử dụng Textual Use Cases.
- Đo lường: Đếm tổng số yêu cầu thu thập được (gross requirements), độ chính xác và mức độ hiểu đúng của các bên liên quan.</t>
        </is>
      </c>
      <c r="O16" s="14" t="inlineStr">
        <is>
          <t>Ưu thế của Mẫu động so với Đặc tả tĩnh (Taxonomy &amp; RQ6.3):
- Bắt trọn yêu cầu bị bỏ sót:
  + Văn bản Use Case dễ bỏ quên bối cảnh thực tế (môi trường sử dụng, thao tác cử chỉ).
  + Video prototype làm nổi bật tính khả dụng và luồng thao tác thực tế, kích thích người xem phát hiện các bước thiếu trong kịch bản.</t>
        </is>
      </c>
      <c r="P16" s="14" t="inlineStr">
        <is>
          <t>https://doi.org/10.1007/978-3-642-14192-8_5</t>
        </is>
      </c>
      <c r="Q16" s="3" t="n"/>
      <c r="R16" s="3" t="n"/>
      <c r="S16" s="3" t="n"/>
      <c r="T16" s="3" t="n"/>
      <c r="U16" s="3" t="n"/>
      <c r="V16" s="3" t="n"/>
      <c r="W16" s="3" t="n"/>
      <c r="X16" s="3" t="n"/>
      <c r="Y16" s="3" t="n"/>
      <c r="Z16" s="3" t="n"/>
    </row>
    <row r="17" ht="22.5" customHeight="1" s="38">
      <c r="A17" s="18">
        <f>A16+1</f>
        <v/>
      </c>
      <c r="B17" s="18" t="inlineStr">
        <is>
          <t>hickey1998prototyping</t>
        </is>
      </c>
      <c r="C17" s="18" t="inlineStr">
        <is>
          <t>Prototyping for Requirements Elicitation and Validation: A Participative Prototype Evaluation Methodology</t>
        </is>
      </c>
      <c r="D17" s="18" t="inlineStr">
        <is>
          <t>Ann M. Hickey and Douglas L. Dean (1998)</t>
        </is>
      </c>
      <c r="E17" s="18" t="inlineStr">
        <is>
          <t>Proceedings of the Americas Conference on Information Systems (AMCIS 1998), pp. 112–114</t>
        </is>
      </c>
      <c r="F17" s="18" t="inlineStr">
        <is>
          <t>Indexed &amp; Cited (ref.bib)</t>
        </is>
      </c>
      <c r="G17" s="18" t="inlineStr">
        <is>
          <t>https://aisel.aisnet.org/amcis1998/41</t>
        </is>
      </c>
      <c r="H17" s="18" t="inlineStr">
        <is>
          <t>Đề xuất Phương pháp luận Đánh giá Prototype có sự tham gia (Participative Prototype Evaluation Methodology) kết hợp Hệ thống Hỗ trợ Nhóm (Group Support Systems - GSS / GroupSystems) để thu thập phản hồi có cấu trúc từ các nhóm người dùng lớn và đa dạng (large, heterogeneous groups).</t>
        </is>
      </c>
      <c r="I17" s="18" t="inlineStr">
        <is>
          <t>Giải quyết khiếm khuyết kinh điển của Prototyping: đưa bản mẫu cho người dùng một cách tùy tiện không có kịch bản dẫn đến việc bị cuốn vào chi tiết bề mặt nông cạn (superficial UI aesthetics) hoặc bị chi phối bởi các thành viên "to mồm" (loud voices). Quy trình có cấu trúc giúp giữ vững trọng tâm vào Yêu cầu Chức năng cốt lõi và phát hiện toàn diện các yêu cầu bị thiếu.</t>
        </is>
      </c>
      <c r="J17" s="18" t="inlineStr">
        <is>
          <t>Cân bằng và làm rõ hoàn hảo giữa Yêu cầu Chức năng nghiệp vụ (Core Functional Requirements) và Trải nghiệm tương tác (Interaction Experience), ngăn ngừa rủi ro tranh cãi cảm tính.</t>
        </is>
      </c>
      <c r="K17" s="18" t="inlineStr">
        <is>
          <t>Nghiên cứu nền tảng thiết lập cấu trúc quy trình đánh giá mẫu thử theo pha; ứng dụng công nghệ GSS cho phép người dùng nhập phản hồi ẩn danh và song song, loại bỏ hiện tượng thiên lệch nhóm (groupthink).</t>
        </is>
      </c>
      <c r="L17" s="18" t="inlineStr">
        <is>
          <t>Công nghệ GSS thời kỳ 1998 còn sơ khai trên máy tính để bàn mạng nội bộ; ngày nay đã được chuyển hóa thành các công cụ cộng tác trực tuyến hiện đại (như Miro, Figma, FigJam).</t>
        </is>
      </c>
      <c r="M17" s="14" t="inlineStr">
        <is>
          <t>Nền móng phương pháp luận đánh giá Prototype (Why?):
- Bối cảnh &amp; Vấn đề: Các kỹ sư thường than phiền: "Đưa prototype cho khách hàng xem thì họ chỉ toàn cãi nhau về màu sắc nút bấm mà không chịu kiểm tra logic nghiệp vụ!".
- Ý nghĩa: Hickey &amp; Dean là những người đầu tiên đặt nền móng giải quyết vấn đề này bằng một quy trình đánh giá mẫu thử có cấu trúc khoa học.</t>
        </is>
      </c>
      <c r="N17" s="14" t="inlineStr">
        <is>
          <t>Phương pháp đánh giá có sự tham gia kết hợp GSS (How?):
- Thiết kế quy trình:
  + Phân đoạn các phiên đánh giá theo từng nhiệm vụ cụ thể (task-based evaluation).
  + Áp dụng hệ thống Group Support Systems (GSS) cho phép toàn bộ stakeholder nhập phản hồi đồng thời và ẩn danh.
  + Triệt tiêu hiện tượng người có chức vụ cao hoặc to mồm át vía ý kiến của người khác.</t>
        </is>
      </c>
      <c r="O17" s="14" t="inlineStr">
        <is>
          <t>Định hướng vào Chức năng và Phát hiện Thiếu sót (Taxonomy &amp; RQ6.3):
- Chống sa đà bề mặt: Quy trình dẫn dắt người dùng tập trung vào: "Hệ thống có đáp ứng đúng quy trình nghiệp vụ không?" trước khi bàn về giao diện.
- Phát hiện Missing Requirements: Nhờ việc tương tác song song, các nhóm người dùng từ các phòng ban khác nhau nhanh chóng chỉ ra các luồng nghiệp vụ liên phòng ban bị bỏ sót.</t>
        </is>
      </c>
      <c r="P17" s="14" t="inlineStr">
        <is>
          <t>https://aisel.aisnet.org/amcis1998/41</t>
        </is>
      </c>
      <c r="Q17" s="3" t="n"/>
      <c r="R17" s="3" t="n"/>
      <c r="S17" s="3" t="n"/>
      <c r="T17" s="3" t="n"/>
      <c r="U17" s="3" t="n"/>
      <c r="V17" s="3" t="n"/>
      <c r="W17" s="3" t="n"/>
      <c r="X17" s="3" t="n"/>
      <c r="Y17" s="3" t="n"/>
      <c r="Z17" s="3" t="n"/>
    </row>
    <row r="18" ht="22.5" customHeight="1" s="38">
      <c r="A18" s="18">
        <f>A17+1</f>
        <v/>
      </c>
      <c r="B18" s="18" t="inlineStr">
        <is>
          <t>hoffmann2011automotive</t>
        </is>
      </c>
      <c r="C18" s="18" t="inlineStr">
        <is>
          <t>Towards automotive service engineering: a design framework and a process model for developing mobile services in automobiles</t>
        </is>
      </c>
      <c r="D18" s="18" t="inlineStr">
        <is>
          <t>Holger Hoffmann and Jan Marco Leimeister (2011)</t>
        </is>
      </c>
      <c r="E18" s="18" t="inlineStr">
        <is>
          <t>International Journal of Electronic Business (IJEB), Inderscience, Vol. 9, No. 4, pp. 320–349</t>
        </is>
      </c>
      <c r="F18" s="18" t="inlineStr">
        <is>
          <t>Indexed (ref.bib)</t>
        </is>
      </c>
      <c r="G18" s="18" t="inlineStr">
        <is>
          <t>https://doi.org/10.1504/IJEB.2011.043254</t>
        </is>
      </c>
      <c r="H18" s="18" t="inlineStr">
        <is>
          <t>Đề xuất phương pháp In-situ Prototyping (Tạo mẫu tại hiện trường / trong bối cảnh thực) cho Hệ thống dịch vụ di động trên xe hơi (Automotive Services). Tích hợp nguyên mẫu phần mềm trực tiếp vào bảng điều khiển buồng lái xe Audi A6 (màn hình MMI, nút xoay trung tâm, phím bấm trên vô-lăng, hệ thống loa xe hơi) để tài xế vừa lái xe vừa trực tiếp trải nghiệm và tương tác với dịch vụ MACS MyNews.</t>
        </is>
      </c>
      <c r="I18" s="18" t="inlineStr">
        <is>
          <t>Đặc tả văn bản (SRS) và phỏng vấn trong phòng họp khiến kỹ sư lầm tưởng menu duyệt tin tức văn bản 3 cấp là dễ dùng. Khi đưa vào buồng lái ô tô thực tế (In-situ), người dùng phát hiện ngay các Yêu cầu bị bỏ sót chí mạng (Missing Requirements): (1) Thiếu tính năng Chuyển văn bản thành giọng nói (Text-to-Speech / Audio Readout) vì tài xế không thể rời mắt khỏi đường lái để đọc chữ quá 1.5 giây mà không gặp nguy cơ tai nạn; (2) Thiếu luồng xử lý gián đoạn ưu tiên (Interruption Handling) khi có cảnh báo va chạm khẩn cấp hoặc cuộc gọi đến; (3) Cụ thể hóa yêu cầu mơ hồ: thao tác chọn kênh tin tức chỉ được tối đa 1-2 lần bấm từ vô-lăng.</t>
        </is>
      </c>
      <c r="J18" s="18" t="inlineStr">
        <is>
          <t>Bẻ gãy điểm mù NFR Deficit trong Hệ thống đan xen vật lý - không gian mạng (Cyber-Physical Systems): Làm rõ xuất sắc các Yêu cầu Phi chức năng (NFRs) sống còn gồm: An toàn &amp; Quản lý xao nhãng tài xế (Safety &amp; Driver Attention Management), Hiệu năng &amp; Độ trễ viễn thông (Telematics Performance &amp; Latency), và Công thái học âm thanh (Acoustic Noise Constraints).</t>
        </is>
      </c>
      <c r="K18" s="18" t="inlineStr">
        <is>
          <t>Thử nghiệm ứng dụng tin tức tương tác MACS MyNews trong khuôn khổ dự án MACS phối hợp với tập đoàn Audi AG. Đánh giá thực nghiệm trong buồng lái xe Audi A6, tuân thủ nghiêm ngặt Quy tắc an toàn 15 giây (15-second rule) của ngành giao thông vận tải và thiết lập cơ chế Tải trước &amp; Lưu đệm ngoại tuyến (Prefetching &amp; Offline Caching).</t>
        </is>
      </c>
      <c r="L18" s="18" t="inlineStr">
        <is>
          <t>Chi phí chế tạo và lắp đặt buồng lái thử nghiệm (testbed) trên xe Audi A6 thực tế rất đắt đỏ; thử nghiệm in-situ đòi hỏi điều kiện an toàn nghiêm ngặt trên đường thử khép kín trước khi thử nghiệm ngoài đời thực.</t>
        </is>
      </c>
      <c r="M18" s="14" t="inlineStr">
        <is>
          <t>Bối cảnh công nghiệp &amp; Đột phá In-situ Prototyping (Why?):
- Bối cảnh: Ngành ô tô chuyển dịch từ cơ khí phần cứng sang dịch vụ số di động (In-car Mobile Services).
- Hạn chế của RE truyền thống: Ngồi phòng máy lạnh viết SRS hoặc bấm chuột trên desktop không thể phản ánh được áp lực nhận thức của tài xế khi xe đang chạy ở tốc độ cao.</t>
        </is>
      </c>
      <c r="N18" s="14" t="inlineStr">
        <is>
          <t>Giao thức In-situ Prototyping trong xe Audi A6 (How?):
- Tích hợp nguyên mẫu phần mềm MACS MyNews vào hệ thống điều khiển MMI và nút bấm vô-lăng của xe Audi A6.
- Đánh giá khả năng tương tác của tài xế trong điều kiện vận hành thực tế (in-situ evaluation).</t>
        </is>
      </c>
      <c r="O18" s="14" t="inlineStr">
        <is>
          <t>Bằng chứng đối trọng hóa giải NFR Deficit (What?):
- Đập tan luận điểm cho rằng "Prototyping chỉ thấy UI mà bỏ quên NFRs": Prototype trong phòng lab thì bỏ quên NFR, nhưng In-situ Prototyping lại là công cụ số 1 để khai quật NFRs sống còn (An toàn, Xao nhãng, Độ trễ viễn thông, và Âm thanh).
- Đóng góp vào Section III-C và Section V (Gap 3) của bài báo SLR.</t>
        </is>
      </c>
      <c r="P18" s="14" t="n"/>
      <c r="Q18" s="3" t="n"/>
      <c r="R18" s="3" t="n"/>
      <c r="S18" s="3" t="n"/>
      <c r="T18" s="3" t="n"/>
      <c r="U18" s="3" t="n"/>
      <c r="V18" s="3" t="n"/>
      <c r="W18" s="3" t="n"/>
      <c r="X18" s="3" t="n"/>
      <c r="Y18" s="3" t="n"/>
      <c r="Z18" s="3" t="n"/>
    </row>
    <row r="19" ht="22.5" customHeight="1" s="38">
      <c r="A19" s="18">
        <f>A18+1</f>
        <v/>
      </c>
      <c r="B19" s="18" t="inlineStr">
        <is>
          <t>lending2022rubric</t>
        </is>
      </c>
      <c r="C19" s="18" t="inlineStr">
        <is>
          <t>A Rubric to Evaluate and Enhance Requirements Elicitation Interviewing Skills</t>
        </is>
      </c>
      <c r="D19" s="18" t="inlineStr">
        <is>
          <t>Diane Lending, Jeremy D. Ezell, Thomas W. Dillon, and Jeffrey May (2022)</t>
        </is>
      </c>
      <c r="E19" s="18" t="inlineStr">
        <is>
          <t>Journal of Information Systems Education (JISE), Vol. 33, No. 4, pp. 371–387</t>
        </is>
      </c>
      <c r="F19" s="18" t="inlineStr">
        <is>
          <t>PDF Downloaded (papers_pdf/)</t>
        </is>
      </c>
      <c r="G19" s="18" t="inlineStr">
        <is>
          <t>https://jise.org/Volume33/n4/JISE2022v33n4pp371-387.html</t>
        </is>
      </c>
      <c r="H19" s="18" t="inlineStr">
        <is>
          <t>Nghiên cứu bán thực nghiệm 3 năm trên sinh viên ngành CIS tại James Madison University. Xây dựng Thang đo Rubric 5 mức (1=Beginner đến 5=Outstanding) trên 8 kỹ năng RE phỏng vấn, trong đó Trực quan hóa (Visualization / Wireframes / Mockups) là một kỹ năng trung tâm. Phân định rõ 2 chức năng: Formative (sinh viên tự định hướng học tập) và Summative (giảng viên đánh giá).</t>
        </is>
      </c>
      <c r="I19" s="18" t="inlineStr">
        <is>
          <t>So sánh đối đầu giữa Phỏng vấn chay bằng lời (Year-0 Baseline) vs. Phỏng vấn có trang bị công cụ Trực quan hóa/Rubric: Ở năm cơ sở, gần 100% sinh viên phỏng vấn chay bằng lời, điểm trực quan hóa chỉ đạt 1.06/5.0. Sau khi áp dụng Rubric hướng dẫn mang bản vẽ trực quan đến phỏng vấn, điểm số khơi gợi yêu cầu tăng vọt từ 1.68 lên 3.07/5.0, đặc biệt kỹ năng Visualization tăng vọt từ 1.06 lên 3.16 (+2.10 điểm) và 3.31 ở Year-2.</t>
        </is>
      </c>
      <c r="J19" s="18" t="inlineStr">
        <is>
          <t>Làm rõ xuất sắc các Yêu cầu Nghiệp vụ tương lai (To-Be System Design) và Giao diện tương tác thông qua Bản vẽ trực quan. Phân cấp độ tương tác: Level 2 (trưng bày bản vẽ thụ động) không phát hiện được yêu cầu mới; Level 4 (cùng khách hàng sửa đổi bản vẽ trực tiếp - dynamic development) giúp lôi ra toàn bộ giả định ngầm.</t>
        </is>
      </c>
      <c r="K19" s="18" t="inlineStr">
        <is>
          <t>Nghiên cứu bán thực nghiệm 3 năm (Year-0: 16 ratings, Year-1: 16 ratings, Year-2: 16 ratings). Điểm tổng thể tăng từ 1.68 (SD=0.56) lên 3.07 (SD=0.68) và 3.10 (SD=0.70). Tiêu chí Trực quan hóa (Visualization) tăng từ 1.06 (SD=0.24) lên 3.16 (SD=0.76) và 3.31 (SD=0.69).</t>
        </is>
      </c>
      <c r="L19" s="18" t="inlineStr">
        <is>
          <t>Thiết kế bán thực nghiệm (Quasi-experimental) trên sinh viên một trường đại học công lập ở Mỹ; cần mở rộng nghiên cứu và kiểm chứng đa văn hóa trên sinh viên đại học ở các quốc gia khác.</t>
        </is>
      </c>
      <c r="M19" s="14" t="inlineStr">
        <is>
          <t>Tại sao cần Rubric chuẩn hóa trong RE (Why?):
- Lỗ hổng đào tạo: Sinh viên nhận tài liệu viết sẵn thì làm được, nhưng khi đi phỏng vấn thực tế thì không biết hỏi gì.
- Thiếu thước đo: Chưa có công cụ chuẩn hóa nào đo lường năng lực RE của sinh viên, dẫn đến việc đánh giá cảm tính.</t>
        </is>
      </c>
      <c r="N19" s="14" t="inlineStr">
        <is>
          <t>Phương pháp luận &amp; Kỹ năng bẻ lái - The Pivot Problem (How?):
- Thang đo 5 mức, 8 tiêu chí.
- Kỹ năng Pivot: Khi khách hàng nói lan man lạc đề, sinh viên sử dụng bản vẽ/prototype trên bàn làm mỏ neo nhận thức để kéo cuộc đối thoại quay lại đúng trọng tâm.</t>
        </is>
      </c>
      <c r="O19" s="14" t="inlineStr">
        <is>
          <t>Đóng góp giải quyết Research Gap 2 &amp; Hướng 1 (What?):
- Cung cấp cơ sở phương pháp luận và thang đo chuẩn hóa để lấp đầy Research Gap 2 (Thiếu thước đo khoa học trên sinh viên) trong Section V.
- Làm căn cứ đo lường thực nghiệm cho Hướng nghiên cứu đề xuất 1 trên sinh viên Capstone trong Section VI-A.</t>
        </is>
      </c>
      <c r="P19" s="14" t="n"/>
      <c r="Q19" s="3" t="n"/>
      <c r="R19" s="3" t="n"/>
      <c r="S19" s="3" t="n"/>
      <c r="T19" s="3" t="n"/>
      <c r="U19" s="3" t="n"/>
      <c r="V19" s="3" t="n"/>
      <c r="W19" s="3" t="n"/>
      <c r="X19" s="3" t="n"/>
      <c r="Y19" s="3" t="n"/>
      <c r="Z19" s="3" t="n"/>
    </row>
    <row r="20" ht="22.5" customHeight="1" s="38">
      <c r="A20" s="18">
        <f>A19+1</f>
        <v/>
      </c>
      <c r="B20" s="18" t="inlineStr">
        <is>
          <t>kolthoff2024interlinking</t>
        </is>
      </c>
      <c r="C20" s="18" t="inlineStr">
        <is>
          <t>Interlinking User Stories and GUI Prototyping: A Semi-Automatic LLM-Based Approach</t>
        </is>
      </c>
      <c r="D20" s="18" t="inlineStr">
        <is>
          <t>Kristian Kolthoff, Felix Kretzer, Christian Bartelt, Alexander Maedche, and Simone Paolo Ponzetto (2024)</t>
        </is>
      </c>
      <c r="E20" s="18" t="inlineStr">
        <is>
          <t>Proceedings of the 2024 IEEE 32nd International Requirements Engineering Conference (RE)</t>
        </is>
      </c>
      <c r="F20" s="18" t="inlineStr">
        <is>
          <t>PDF Downloaded (papers_pdf/)</t>
        </is>
      </c>
      <c r="G20" s="18" t="inlineStr">
        <is>
          <t>https://github.com/IUS-GUI-Prototyping/IUS-GUI</t>
        </is>
      </c>
      <c r="H20" s="18" t="inlineStr">
        <is>
          <t>Đề xuất hệ sinh thái IUS-GUI Pipeline tích hợp LLM (GPT-4) vào công cụ tạo mẫu (Figma/Adobe XD) để liên kết bán tự động giữa câu chữ User Stories và màn hình GUI Prototype. Gồm 4 module: Trừu tượng hóa GUI sang văn bản phân cấp DSL, phân loại nhị phân phát hiện User Story bị bỏ quên, gán nhãn linh kiện (component matching), và sinh mã gợi ý thiết kế (recommendation).</t>
        </is>
      </c>
      <c r="I20" s="18" t="inlineStr">
        <is>
          <t>Khắc phục sự lệch pha và đứt gãy vết (traceability gap) giữa User Stories dạng văn bản trong Backlog và màn hình prototype trên Figma. Đánh giá trên tập dữ liệu chuẩn 60 GUIs và 210 cặp US-GUI: LLM phát hiện chính xác các User Story bị bỏ quên với Accuracy = 85.2%, F1 = 85.7% (Zero-Shot) và Accuracy = 84.8%, F1 = 85.2% (Few-Shot). Ánh xạ linh kiện đạt Macro-F1 = 76.5%.</t>
        </is>
      </c>
      <c r="J20" s="18" t="inlineStr">
        <is>
          <t>Làm rõ xuất sắc Yêu cầu Chức năng (Functional Requirements) và các Luồng tương tác giao diện người dùng. Phân tích lỗi chỉ ra 2 hiện tượng: False Positive (AI nhầm linh kiện có tên tương đồng) và False Negative (AI không nhận diện được icon đồ họa thiếu nhãn chữ). Chưa hỗ trợ sâu NFRs.</t>
        </is>
      </c>
      <c r="K20" s="18" t="inlineStr">
        <is>
          <t>Thực nghiệm trên 210 cặp US-GUI từ kho dữ liệu Rico (10 domain). Zero-Shot: Accuracy = 0.852, F1 (Implemented) = 0.857, F1 (Not-implemented) = 0.847. Few-Shot (FS5): Accuracy = 0.848, F1 = 0.852. Component Matching: Macro-F1 = 0.765, Micro-F1 = 0.681. Kiểm định McNemar cho thấy hiệu suất ZS và FS cân bằng vững chắc.</t>
        </is>
      </c>
      <c r="L20" s="18" t="inlineStr">
        <is>
          <t>Mô hình hiện tại chỉ khai thác thông tin văn bản của linh kiện GUI (chưa hỗ trợ đa phương thức Multimodal để phân tích hình ảnh/icon thuần túy); tập trung vào ứng dụng di động Android; chưa bao quát NFRs.</t>
        </is>
      </c>
      <c r="M20" s="14" t="inlineStr">
        <is>
          <t>Nỗi đau lệch pha giữa Jira và Figma trong Agile (Why?):
- Bối cảnh: Agile thay đổi liên tục, User Story viết trên Backlog thường bị tách rời khỏi màn hình Prototype trên Figma.
- Hậu quả: Designer quên vẽ tính năng, PO không thể kiểm soát độ bao phủ của prototype, gây bùng nổ rework cuối Sprint.</t>
        </is>
      </c>
      <c r="N20" s="14" t="inlineStr">
        <is>
          <t>Cơ chế 4 bước của IUS-GUI Pipeline (How?):
- Bước 1: Dịch cây giao diện Figma thành văn bản DSL dạng phân cấp (uicomp-text, uicomp-type, uicomp-name).
- Bước 2: Dùng GPT-4 (ZS, FS, CoT) phân loại nhị phân phát hiện câu User Story nào chưa được vẽ (Not-implemented).
- Bước 3: Ánh xạ chính xác ID của nút bấm/ô nhập liệu tương ứng với câu User Story.
- Bước 4: Tự động sinh mã HTML/CSS gợi ý để designer kéo thả vào Figma bổ sung ngay lập tức.</t>
        </is>
      </c>
      <c r="O20" s="14" t="inlineStr">
        <is>
          <t>Đột phá học thuật IEEE RE 2024 (What?):
- Đưa AI vào giải quyết trực diện bài toán Missing Requirements trong Agile với độ chính xác trên 85%.
- Đóng góp vào Section III-B (Empirical Evidence vs Text) và Section VI-A (Hướng nghiên cứu Capstone cho sinh viên).</t>
        </is>
      </c>
      <c r="P20" s="14" t="n"/>
      <c r="Q20" s="3" t="n"/>
      <c r="R20" s="3" t="n"/>
      <c r="S20" s="3" t="n"/>
      <c r="T20" s="3" t="n"/>
      <c r="U20" s="3" t="n"/>
      <c r="V20" s="3" t="n"/>
      <c r="W20" s="3" t="n"/>
      <c r="X20" s="3" t="n"/>
      <c r="Y20" s="3" t="n"/>
      <c r="Z20" s="3" t="n"/>
    </row>
    <row r="21" ht="22.5" customHeight="1" s="38">
      <c r="A21" s="18">
        <f>A20+1</f>
        <v/>
      </c>
      <c r="B21" s="18" t="inlineStr">
        <is>
          <t>kolthoff2024selfelicitation</t>
        </is>
      </c>
      <c r="C21" s="18" t="inlineStr">
        <is>
          <t>Self-Elicitation of Requirements with Automated GUI Prototyping</t>
        </is>
      </c>
      <c r="D21" s="18" t="inlineStr">
        <is>
          <t>Kristian Kolthoff, Christian Bartelt, Simone Paolo Ponzetto, and Kurt Schneider (2024)</t>
        </is>
      </c>
      <c r="E21" s="18" t="inlineStr">
        <is>
          <t>Proceedings of the 39th IEEE/ACM International Conference on Automated Software Engineering (ASE)</t>
        </is>
      </c>
      <c r="F21" s="18" t="inlineStr">
        <is>
          <t>PDF Downloaded (papers_pdf/)</t>
        </is>
      </c>
      <c r="G21" s="18" t="inlineStr">
        <is>
          <t>https://doi.org/10.1145/3691620.3695350</t>
        </is>
      </c>
      <c r="H21" s="18" t="inlineStr">
        <is>
          <t>Đề xuất hệ thống SERGUI cho phép khách hàng Tự khơi gợi yêu cầu (Self-Elicitation of Requirements - SER) thông qua trợ lý AI đối thoại và kho dữ liệu 48.402 màn hình di động (Rico). Quy trình gồm 4 pha: Lọc và xếp hạng màn hình Top-k bằng Sentence-BERT/S2W, khám phá tính năng con, LLM (GPT-4) chủ động dự đoán và gợi ý Top-30 tính năng liên quan, và tự động tái xếp hạng màn hình theo phản hồi.</t>
        </is>
      </c>
      <c r="I21" s="18" t="inlineStr">
        <is>
          <t>Giải quyết căn bệnh khách hàng không biết diễn đạt yêu cầu trong phỏng vấn văn bản truyền thống. Prototype trực quan đóng vai trò "Chất xúc tác kích hoạt trí nhớ" (Cognitive Stimulator). Đánh giá qua 72 phiên tạo mẫu: AI gợi ý tính năng bị bỏ quên đạt MAP = 0.741 (xấp xỉ 3 trong 4 tính năng được xác nhận là yêu cầu bị bỏ sót), MRR = 0.816 (tính năng đúng ở hạng 1.22). Tái xếp hạng giúp cải thiện +61.89 bậc trong 68.05% trường hợp.</t>
        </is>
      </c>
      <c r="J21" s="18" t="inlineStr">
        <is>
          <t>Làm rõ và khơi gợi xuất sắc các Yêu cầu Chức năng (Functional Requirements) và Tính năng trải nghiệm (UX Features). Biến tri thức ẩn (Tacit Knowledge) và nhu cầu tiềm ẩn thành các yêu cầu hiển ngôn (explicit). Hạn chế: Chưa bao quát các yêu cầu phi chức năng sâu (NFRs như bảo mật, chịu tải máy chủ).</t>
        </is>
      </c>
      <c r="K21" s="18" t="inlineStr">
        <is>
          <t>Thực nghiệm trên 72 phiên tạo mẫu với 12 chuyên gia kỹ thuật trên 3 miền ứng dụng (Shopping, News, Social). Feature Recommendation: MAP = 0.741, MRR = 0.816, P@1 = 0.691, P@10 = 0.638. GUI Feature Ranking: MRR = 0.390, HITS@1 = 0.270, HITS@15 = 0.691. GUI Reranking: Tăng trung bình +61.89 ranks (SD: 79.82).</t>
        </is>
      </c>
      <c r="L21" s="18" t="inlineStr">
        <is>
          <t>Tập dữ liệu dựa trên ứng dụng di động Android; đánh giá sơ bộ trên 12 người tham gia; hệ thống tập trung vào các chức năng tương tác trực quan, cần kết hợp kỹ sư cho các NFRs backend.</t>
        </is>
      </c>
      <c r="M21" s="14" t="inlineStr">
        <is>
          <t>Nỗi khổ khách hàng không biết mình muốn gì (Why?):
- Thách thức: Khách hàng không có nền tảng IT nên chỉ nói được 1-2 câu sơ sài, bỏ quên hàng loạt yêu cầu nghiệp vụ ngầm.
- Phỏng vấn truyền thống tốn kém nhiều buổi họp lặp lại giữa analyst và khách hàng.</t>
        </is>
      </c>
      <c r="N21" s="14" t="inlineStr">
        <is>
          <t>Cơ chế SERGUI kích hoạt Self-Elicitation (How?):
- Khách hàng gõ câu yêu cầu sơ khởi -&gt; SERGUI lôi màn hình mẫu từ kho 48.000 GUI ra cho xem.
- GPT-4 chủ động gợi ý Top-30 tính năng liên quan kèm hình ảnh minh họa -&gt; Khách hàng tự nhận ra và bấm chọn bổ sung.</t>
        </is>
      </c>
      <c r="O21" s="14" t="inlineStr">
        <is>
          <t>Đột phá học thuật ACM/IEEE ASE 2024 của GS. Kurt Schneider (What?):
- Chứng minh Prototype trực quan đóng vai trò chất xúc tác nhận thức giúp khách hàng tự khơi gợi yêu cầu bị thiếu (Missing/Tacit).
- Đóng góp vào Section I (Introduction) và Section III-A (Elicitation Mechanisms) của bài báo SLR.</t>
        </is>
      </c>
      <c r="P21" s="14" t="n"/>
      <c r="Q21" s="3" t="n"/>
      <c r="R21" s="3" t="n"/>
      <c r="S21" s="3" t="n"/>
      <c r="T21" s="3" t="n"/>
      <c r="U21" s="3" t="n"/>
      <c r="V21" s="3" t="n"/>
      <c r="W21" s="3" t="n"/>
      <c r="X21" s="3" t="n"/>
      <c r="Y21" s="3" t="n"/>
      <c r="Z21" s="3" t="n"/>
    </row>
    <row r="22" ht="22.5" customHeight="1" s="38">
      <c r="A22" s="18">
        <f>A21+1</f>
        <v/>
      </c>
      <c r="B22" s="18" t="inlineStr">
        <is>
          <t>wei2023boosting</t>
        </is>
      </c>
      <c r="C22" s="18" t="inlineStr">
        <is>
          <t>Boosting GUI Prototyping with Diffusion Models</t>
        </is>
      </c>
      <c r="D22" s="18" t="inlineStr">
        <is>
          <t>Jialiang Wei, Anne-Lise Courbis, Thomas Lambolais, Binbin Xu, Pierre Louis Bernard, and Gérard Dray (2023)</t>
        </is>
      </c>
      <c r="E22" s="18" t="inlineStr">
        <is>
          <t>Proceedings of the 2023 IEEE 31st International Requirements Engineering Conference (RE), pp. 275–280</t>
        </is>
      </c>
      <c r="F22" s="18" t="inlineStr">
        <is>
          <t>PDF Downloaded (papers_pdf/)</t>
        </is>
      </c>
      <c r="G22" s="18" t="inlineStr">
        <is>
          <t>https://doi.org/10.1109/RE57278.2023.00035</t>
        </is>
      </c>
      <c r="H22" s="18" t="inlineStr">
        <is>
          <t>Đề xuất công cụ UI-Diffuser ứng dụng mô hình khuếch tán (Stable Diffusion v1.5 + ControlNet) kết hợp LayoutDM để tạo mẫu giao diện di động tự động từ câu prompt văn bản và danh sách linh kiện UI. Quy trình 2 bước: Dựng khung xương vị trí linh kiện bằng LayoutDM, sau đó dùng ControlNet khóa vị trí và Stable Diffusion khử nhiễu sinh ra ảnh giao diện hoàn chỉnh (288x512) trong vòng vài giây.</t>
        </is>
      </c>
      <c r="I22" s="18" t="inlineStr">
        <is>
          <t>Bẻ gãy rào cản chi phí thời gian (Prototyping Overhead) trong các Sprint Agile. Thay vì mất trung bình 145 phút vẽ tay (Rueda 2020) hoặc nhiều giờ chỉnh sửa trên Figma, UI-Diffuser sinh ra hàng loạt phương án giao diện trực quan trong tích tắc ngay tại buổi họp Backlog Grooming. Giúp PO và khách hàng có ngay mẫu thử trực quan để đối chiếu, phát hiện thiếu sót yêu cầu mà không làm trễ tiến độ Sprint.</t>
        </is>
      </c>
      <c r="J22" s="18" t="inlineStr">
        <is>
          <t>Làm rõ xuất sắc các Yêu cầu Giao diện (GUIs), Bố cục tương tác (Layout), và Phong cách thẩm mỹ (Aesthetics). Thử nghiệm trên 6 loại ứng dụng: Login, Tutorial, Gallery, Maps, Mediaplayer, và Profile. Hạn chế: Đầu ra là ảnh phẳng (PNG/JPEG) không tương tác được trực tiếp; đôi khi bỏ sót chi tiết nhỏ (như banner quảng cáo).</t>
        </is>
      </c>
      <c r="K22" s="18" t="inlineStr">
        <is>
          <t>Huấn luyện tinh chỉnh trên kho dữ liệu Rico (66k màn hình app Android, 25 danh mục linh kiện) và chú thích ngôn ngữ tự nhiên XUI trên GPU Nvidia Tesla T4 (16GB VRAM) qua 16.000 bước. Tốc độ sinh ảnh trong vài giây (a matter of seconds), chứng minh tính khả thi kỹ thuật vượt trội.</t>
        </is>
      </c>
      <c r="L22" s="18" t="inlineStr">
        <is>
          <t>Ảnh giao diện sinh ra là ảnh phẳng (raster image), không thể chỉnh sửa từng layer vector như trong Figma; chữ trong ảnh đôi khi bị mờ (đặc trưng của Stable Diffusion); phù hợp làm cảm hứng trực quan ban đầu hơn là prototype tương tác.</t>
        </is>
      </c>
      <c r="M22" s="14" t="inlineStr">
        <is>
          <t>Nghịch lý chi phí và thời gian làm Prototype trong Agile (Why?):
- Thách thức: Ai cũng biết prototype giúp làm rõ yêu cầu, nhưng vẽ prototype tốn quá nhiều thời gian nên các nhóm Agile thường bỏ qua.
- Các AI vẽ tranh thông thường (Midjourney, DALL-E) không hiểu cấu trúc phân cấp linh kiện app nên vẽ ra các giao diện méo mó không dùng được.</t>
        </is>
      </c>
      <c r="N22" s="14" t="inlineStr">
        <is>
          <t>Kiến trúc 2 pha kết hợp LayoutDM + ControlNet (How?):
- Pha 1: LayoutDM sắp xếp tọa độ khung xương (wireframe layout) chuẩn xác cho các nút bấm, ô text, icon.
- Pha 2: ControlNet khóa chặt khung xương, ép Stable Diffusion khử nhiễu và tô vẽ màu sắc, chi tiết theo câu prompt văn bản.</t>
        </is>
      </c>
      <c r="O22" s="14" t="inlineStr">
        <is>
          <t>Đột phá Generative AI Prototyping trong IEEE RE 2023 (What?):
- Mở ra kỷ nguyên sinh mẫu giao diện bằng AI trong vài giây, giải quyết bài toán đánh đổi chi phí - lợi ích (Cost-Benefit Trade-off).
- Đóng góp vào Section IV (Comparative Analysis &amp; Tooling Costs) của bài báo SLR.</t>
        </is>
      </c>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2026-10-18T18:45:59Z</dcterms:modified>
</cp:coreProperties>
</file>