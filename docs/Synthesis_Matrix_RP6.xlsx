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ng tính1" sheetId="1" state="visible" r:id="rId1"/>
    <sheet xmlns:r="http://schemas.openxmlformats.org/officeDocument/2006/relationships" name="Background_Definitions" sheetId="2" state="visible" r:id="rId2"/>
  </sheets>
  <definedNames/>
  <calcPr calcId="124519" fullCalcOnLoad="1"/>
</workbook>
</file>

<file path=xl/styles.xml><?xml version="1.0" encoding="utf-8"?>
<styleSheet xmlns="http://schemas.openxmlformats.org/spreadsheetml/2006/main">
  <numFmts count="0"/>
  <fonts count="11">
    <font>
      <name val="Arial"/>
      <color rgb="FF000000"/>
      <sz val="10"/>
      <scheme val="minor"/>
    </font>
    <font>
      <name val="&quot;Google Sans Text&quot;"/>
      <color theme="1"/>
    </font>
    <font>
      <name val="Arial"/>
      <color theme="1"/>
      <scheme val="minor"/>
    </font>
    <font>
      <name val="Roboto"/>
      <color rgb="FF0000FF"/>
      <u val="single"/>
    </font>
    <font>
      <name val="Roboto"/>
      <color rgb="FF0000FF"/>
      <u val="single"/>
    </font>
    <font>
      <name val="&quot;Google Sans Text&quot;"/>
      <color rgb="FF0000FF"/>
      <u val="single"/>
    </font>
    <font>
      <name val="&quot;Google Sans Text&quot;"/>
      <color rgb="FF0000FF"/>
      <u val="single"/>
    </font>
    <font>
      <name val="&quot;Google Sans Text&quot;"/>
      <b val="1"/>
      <color theme="1"/>
    </font>
    <font>
      <name val="Arial"/>
      <b val="1"/>
      <i val="1"/>
      <color theme="1"/>
      <scheme val="minor"/>
    </font>
    <font>
      <name val="Arial"/>
      <b val="1"/>
      <color theme="1"/>
      <scheme val="minor"/>
    </font>
    <font>
      <name val="Arial"/>
      <color theme="1"/>
    </font>
  </fonts>
  <fills count="4">
    <fill>
      <patternFill/>
    </fill>
    <fill>
      <patternFill patternType="lightGray"/>
    </fill>
    <fill>
      <patternFill patternType="solid">
        <fgColor rgb="FFFFFFFF"/>
        <bgColor rgb="FFFFFFFF"/>
      </patternFill>
    </fill>
    <fill>
      <patternFill patternType="solid">
        <fgColor rgb="FFF6F8F9"/>
        <bgColor rgb="FFF6F8F9"/>
      </patternFill>
    </fill>
  </fills>
  <borders count="5">
    <border/>
    <border>
      <left style="thin">
        <color rgb="FFC4C7C5"/>
      </left>
      <right style="thin">
        <color rgb="FFC4C7C5"/>
      </right>
      <top style="thin">
        <color rgb="FFC4C7C5"/>
      </top>
      <bottom style="thin">
        <color rgb="FFC4C7C5"/>
      </bottom>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284E3F"/>
      </right>
      <top style="thin">
        <color rgb="FFD9D9D9"/>
      </top>
      <bottom style="thin">
        <color rgb="FFD9D9D9"/>
      </bottom>
    </border>
  </borders>
  <cellStyleXfs count="1">
    <xf numFmtId="0" fontId="0" fillId="0" borderId="0"/>
  </cellStyleXfs>
  <cellXfs count="39">
    <xf numFmtId="0" fontId="0" fillId="0" borderId="0" applyAlignment="1" pivotButton="0" quotePrefix="0" xfId="0">
      <alignment vertical="bottom"/>
    </xf>
    <xf numFmtId="0" fontId="1" fillId="0" borderId="0" applyAlignment="1" pivotButton="0" quotePrefix="0" xfId="0">
      <alignment horizontal="lef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1" fillId="0" borderId="1" applyAlignment="1" pivotButton="0" quotePrefix="0" xfId="0">
      <alignment vertical="center" wrapText="1"/>
    </xf>
    <xf numFmtId="0" fontId="2" fillId="0" borderId="0" applyAlignment="1" pivotButton="0" quotePrefix="0" xfId="0">
      <alignment vertical="center" wrapText="1"/>
    </xf>
    <xf numFmtId="0" fontId="1" fillId="0" borderId="1"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4" fillId="0" borderId="0" applyAlignment="1" pivotButton="0" quotePrefix="0" xfId="0">
      <alignment vertical="center" wrapText="1"/>
    </xf>
    <xf numFmtId="0" fontId="5" fillId="0" borderId="1" applyAlignment="1" pivotButton="0" quotePrefix="0" xfId="0">
      <alignment vertical="center" wrapText="1"/>
    </xf>
    <xf numFmtId="0" fontId="1" fillId="0" borderId="0" applyAlignment="1" pivotButton="0" quotePrefix="0" xfId="0">
      <alignment vertical="center" wrapText="1"/>
    </xf>
    <xf numFmtId="0" fontId="6" fillId="0" borderId="0" applyAlignment="1" pivotButton="0" quotePrefix="0" xfId="0">
      <alignment vertical="center" wrapText="1"/>
    </xf>
    <xf numFmtId="0" fontId="1" fillId="0" borderId="1"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7" fillId="0" borderId="1" applyAlignment="1" pivotButton="0" quotePrefix="0" xfId="0">
      <alignment vertical="center" wrapText="1"/>
    </xf>
    <xf numFmtId="0" fontId="1" fillId="0" borderId="1" applyAlignment="1" pivotButton="0" quotePrefix="0" xfId="0">
      <alignment vertical="center" wrapText="1"/>
    </xf>
    <xf numFmtId="0" fontId="2" fillId="0" borderId="0" applyAlignment="1" pivotButton="0" quotePrefix="0" xfId="0">
      <alignment vertical="center" wrapText="1"/>
    </xf>
    <xf numFmtId="0" fontId="8"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9" fillId="0" borderId="0" applyAlignment="1" pivotButton="0" quotePrefix="0" xfId="0">
      <alignment vertical="center" wrapText="1"/>
    </xf>
    <xf numFmtId="0" fontId="2" fillId="0" borderId="0" applyAlignment="1" pivotButton="0" quotePrefix="0" xfId="0">
      <alignment vertical="center" wrapText="1"/>
    </xf>
    <xf numFmtId="0" fontId="10" fillId="2" borderId="2" applyAlignment="1" pivotButton="0" quotePrefix="0" xfId="0">
      <alignment vertical="center" wrapText="1"/>
    </xf>
    <xf numFmtId="0" fontId="10" fillId="2" borderId="3" applyAlignment="1" pivotButton="0" quotePrefix="0" xfId="0">
      <alignment vertical="center" wrapText="1"/>
    </xf>
    <xf numFmtId="0" fontId="10" fillId="2" borderId="4" applyAlignment="1" pivotButton="0" quotePrefix="0" xfId="0">
      <alignment vertical="center" wrapText="1"/>
    </xf>
    <xf numFmtId="0" fontId="10" fillId="2" borderId="2" applyAlignment="1" pivotButton="0" quotePrefix="0" xfId="0">
      <alignment vertical="center" wrapText="1"/>
    </xf>
    <xf numFmtId="0" fontId="10" fillId="2" borderId="3" applyAlignment="1" pivotButton="0" quotePrefix="0" xfId="0">
      <alignment vertical="center" wrapText="1"/>
    </xf>
    <xf numFmtId="0" fontId="10" fillId="2" borderId="4" applyAlignment="1" pivotButton="0" quotePrefix="0" xfId="0">
      <alignment vertical="center" wrapText="1"/>
    </xf>
    <xf numFmtId="0" fontId="10" fillId="3" borderId="2" applyAlignment="1" pivotButton="0" quotePrefix="0" xfId="0">
      <alignment vertical="center" wrapText="1"/>
    </xf>
    <xf numFmtId="0" fontId="10" fillId="3" borderId="3" applyAlignment="1" pivotButton="0" quotePrefix="0" xfId="0">
      <alignment vertical="center" wrapText="1"/>
    </xf>
    <xf numFmtId="0" fontId="10" fillId="3" borderId="4" applyAlignment="1" pivotButton="0" quotePrefix="0" xfId="0">
      <alignment vertical="center" wrapText="1"/>
    </xf>
    <xf numFmtId="0" fontId="10" fillId="2" borderId="2" pivotButton="0" quotePrefix="0" xfId="0"/>
    <xf numFmtId="0" fontId="10" fillId="2" borderId="3" pivotButton="0" quotePrefix="0" xfId="0"/>
    <xf numFmtId="0" fontId="10" fillId="2" borderId="4" pivotButton="0" quotePrefix="0" xfId="0"/>
    <xf numFmtId="0" fontId="0" fillId="0" borderId="0" pivotButton="0" quotePrefix="0" xfId="0"/>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font/>
      <fill>
        <patternFill patternType="solid">
          <fgColor rgb="FFCDD9D4"/>
          <bgColor rgb="FFCDD9D4"/>
        </patternFill>
      </fill>
      <border/>
    </dxf>
  </dxfs>
  <tableStyles count="2" defaultTableStyle="TableStyleMedium9" defaultPivotStyle="PivotStyleLight16">
    <tableStyle name="Trang tính1-style" pivot="0" count="4">
      <tableStyleElement type="headerRow" dxfId="1"/>
      <tableStyleElement type="firstRowStripe" dxfId="2"/>
      <tableStyleElement type="secondRowStripe" dxfId="3"/>
      <tableStyleElement type="wholeTable" size="0" dxfId="4"/>
    </tableStyle>
    <tableStyle name="Background_Definitions-style" pivot="0" count="5">
      <tableStyleElement type="headerRow" dxfId="1"/>
      <tableStyleElement type="firstRowStripe" dxfId="2"/>
      <tableStyleElement type="secondRowStripe" dxfId="3"/>
      <tableStyleElement type="totalRow" dxfId="5"/>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Bảng_1" displayName="Bảng_1" ref="A1:P26" headerRowCount="1">
  <tableColumns count="16">
    <tableColumn id="1" name="ID"/>
    <tableColumn id="2" name="Citation Key"/>
    <tableColumn id="3" name="Paper Title"/>
    <tableColumn id="4" name="Authors &amp; Year"/>
    <tableColumn id="5" name="Publication / Source"/>
    <tableColumn id="6" name="PDF Status"/>
    <tableColumn id="7" name="Link / DOI"/>
    <tableColumn id="8" name="RQ6.1: Cách dùng Prototype (Elicitation / Validation)"/>
    <tableColumn id="9" name="RQ6.2: Prototype vs Textual Spec (Hiệu quả tìm lỗi/thiếu sót)"/>
    <tableColumn id="10" name="RQ6.3: Loại Requirements làm rõ tốt nhất (UI, Logic, NFR...)"/>
    <tableColumn id="11" name="Key Findings &amp; Evidence (Số liệu / Bằng chứng cụ thể)"/>
    <tableColumn id="12" name="Limitations &amp; My Notes"/>
    <tableColumn id="13" name="Cột 1"/>
    <tableColumn id="14" name="Cột 2"/>
    <tableColumn id="15" name="Cột 3"/>
    <tableColumn id="16" name="Cột 4"/>
  </tableColumns>
  <tableStyleInfo name="Trang tính1-style" showFirstColumn="1" showLastColumn="1" showRowStripes="1" showColumnStripes="0"/>
</table>
</file>

<file path=xl/tables/table2.xml><?xml version="1.0" encoding="utf-8"?>
<table xmlns="http://schemas.openxmlformats.org/spreadsheetml/2006/main" id="2" name="Bảng_2" displayName="Bảng_2" ref="A1:I16" headerRowCount="1" totalsRowCount="1">
  <tableColumns count="9">
    <tableColumn id="1" name="Ref ID"/>
    <tableColumn id="2" name="BibTeX Key"/>
    <tableColumn id="3" name="Source / Section"/>
    <tableColumn id="4" name="Topic / Concept"/>
    <tableColumn id="5" name="Standard Definition &amp; Theory (IREB / CPRE)"/>
    <tableColumn id="6" name="Mapping to RQ"/>
    <tableColumn id="7" name="Role in SLR Paper"/>
    <tableColumn id="8" name="Notes &amp; Critical Synthesis for RP6"/>
    <tableColumn id="9" name="nhom nhom"/>
  </tableColumns>
  <tableStyleInfo name="Background_Definition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i.org/10.1007/s10664-023-10331-w" TargetMode="External" Id="rId1"/><Relationship Type="http://schemas.openxmlformats.org/officeDocument/2006/relationships/hyperlink" Target="https://app.notion.com/p/Prototyping-v-vi-c-nh-n-di-n-c-c-y-u-c-u-thi-u-ho-c-ch-a-r-3e895ae094f980c18cbadf0e5b2c1b8a?source=copy_link" TargetMode="External" Id="rId2"/><Relationship Type="http://schemas.openxmlformats.org/officeDocument/2006/relationships/hyperlink" Target="https://doi.org/10.1016/j.infsof.2020.106354" TargetMode="External" Id="rId3"/><Relationship Type="http://schemas.openxmlformats.org/officeDocument/2006/relationships/hyperlink" Target="https://app.notion.com/p/Rueda-et-al-2020-3e895ae094f980c0b3f0d9142a7be076?source=copy_link" TargetMode="External" Id="rId4"/><Relationship Type="http://schemas.openxmlformats.org/officeDocument/2006/relationships/hyperlink" Target="https://doi.org/10.1109/REW.2018.00010" TargetMode="External" Id="rId5"/><Relationship Type="http://schemas.openxmlformats.org/officeDocument/2006/relationships/hyperlink" Target="https://app.notion.com/p/The-Impact-of-Loud-and-Interactive-Paper-Prototyping-on-Requirements-Elicitation-Abad-et-al-2018-3e995ae094f9806fb551dc00568e689c?source=copy_link" TargetMode="External" Id="rId6"/><Relationship Type="http://schemas.openxmlformats.org/officeDocument/2006/relationships/table" Target="/xl/tables/table1.xml" Id="rId7"/></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0" summaryRight="0"/>
    <pageSetUpPr/>
  </sheetPr>
  <dimension ref="A1:Z1001"/>
  <sheetViews>
    <sheetView workbookViewId="0">
      <pane ySplit="1" topLeftCell="A2" activePane="bottomLeft" state="frozen"/>
      <selection pane="bottomLeft" activeCell="B3" sqref="B3"/>
    </sheetView>
  </sheetViews>
  <sheetFormatPr baseColWidth="8" defaultColWidth="12.63" defaultRowHeight="15.75" customHeight="1"/>
  <cols>
    <col width="11.38" customWidth="1" style="38" min="2" max="2"/>
    <col width="28.38" customWidth="1" style="38" min="3" max="3"/>
    <col width="16.63" customWidth="1" style="38" min="4" max="4"/>
    <col width="20.63" customWidth="1" style="38" min="5" max="5"/>
    <col width="13.75" customWidth="1" style="38" min="6" max="6"/>
    <col width="14.63" customWidth="1" style="38" min="7" max="7"/>
    <col width="37.63" customWidth="1" style="38" min="8" max="12"/>
    <col width="53.13" customWidth="1" style="38" min="13" max="13"/>
    <col width="45.13" customWidth="1" style="38" min="14" max="14"/>
    <col width="65.38" customWidth="1" style="38" min="15" max="15"/>
    <col width="22.63" customWidth="1" style="38" min="16" max="16"/>
  </cols>
  <sheetData>
    <row r="1" ht="22.5" customHeight="1" s="38">
      <c r="A1" s="15" t="inlineStr">
        <is>
          <t>ID</t>
        </is>
      </c>
      <c r="B1" s="15" t="inlineStr">
        <is>
          <t>Citation Key</t>
        </is>
      </c>
      <c r="C1" s="15" t="inlineStr">
        <is>
          <t>Paper Title</t>
        </is>
      </c>
      <c r="D1" s="15" t="inlineStr">
        <is>
          <t>Authors &amp; Year</t>
        </is>
      </c>
      <c r="E1" s="15" t="inlineStr">
        <is>
          <t>Publication / Source</t>
        </is>
      </c>
      <c r="F1" s="15" t="inlineStr">
        <is>
          <t>PDF Status</t>
        </is>
      </c>
      <c r="G1" s="15" t="inlineStr">
        <is>
          <t>Link / DOI</t>
        </is>
      </c>
      <c r="H1" s="15" t="inlineStr">
        <is>
          <t>RQ6.1: Cách dùng Prototype (Elicitation / Validation)</t>
        </is>
      </c>
      <c r="I1" s="15" t="inlineStr">
        <is>
          <t>RQ6.2: Prototype vs Textual Spec (Hiệu quả tìm lỗi/thiếu sót)</t>
        </is>
      </c>
      <c r="J1" s="15" t="inlineStr">
        <is>
          <t>RQ6.3: Loại Requirements làm rõ tốt nhất (UI, Logic, NFR...)</t>
        </is>
      </c>
      <c r="K1" s="15" t="inlineStr">
        <is>
          <t>Key Findings &amp; Evidence (Số liệu / Bằng chứng cụ thể)</t>
        </is>
      </c>
      <c r="L1" s="15" t="inlineStr">
        <is>
          <t>Limitations &amp; My Notes</t>
        </is>
      </c>
      <c r="M1" s="15" t="inlineStr">
        <is>
          <t>Cột 1</t>
        </is>
      </c>
      <c r="N1" s="15" t="inlineStr">
        <is>
          <t>Cột 2</t>
        </is>
      </c>
      <c r="O1" s="15" t="inlineStr">
        <is>
          <t>Cột 3</t>
        </is>
      </c>
      <c r="P1" s="15" t="inlineStr">
        <is>
          <t>Cột 4</t>
        </is>
      </c>
      <c r="Q1" s="3" t="n"/>
      <c r="R1" s="3" t="n"/>
      <c r="S1" s="3" t="n"/>
      <c r="T1" s="3" t="n"/>
      <c r="U1" s="3" t="n"/>
      <c r="V1" s="3" t="n"/>
      <c r="W1" s="3" t="n"/>
      <c r="X1" s="3" t="n"/>
      <c r="Y1" s="3" t="n"/>
      <c r="Z1" s="3" t="n"/>
    </row>
    <row r="2" ht="186" customHeight="1" s="38">
      <c r="A2" s="18" t="n">
        <v>1</v>
      </c>
      <c r="B2" s="25" t="inlineStr">
        <is>
          <t>bjarnason2023empirically</t>
        </is>
      </c>
      <c r="C2" s="25" t="inlineStr">
        <is>
          <t>An empirically based model of software prototyping: a mapping study and a multi-case study</t>
        </is>
      </c>
      <c r="D2" s="25" t="inlineStr">
        <is>
          <t>Elizabeth Bjarnason, Michael Lang, and Markus Mjöberg (2023)</t>
        </is>
      </c>
      <c r="E2" s="25" t="inlineStr">
        <is>
          <t>Empirical Software Engineering (Springer), Vol. 28, Issue 5</t>
        </is>
      </c>
      <c r="F2" s="18" t="inlineStr">
        <is>
          <t>Downloaded (03_bjarnason2023empirically_PAM_Model.pdf)</t>
        </is>
      </c>
      <c r="G2" s="7" t="inlineStr">
        <is>
          <t>https://doi.org/10.1007/s10664-023-10331-w</t>
        </is>
      </c>
      <c r="H2" s="25" t="inlineStr">
        <is>
          <t>Đề xuất mô hình PAM gồm 5 chiều: Purpose (khám phá, căn chỉnh, kiểm chứng), Scope (độ rộng &amp; độ sâu chức năng), Media (sketch giấy, mockup đến source code), Use (người review, tương tác trực tiếp/demo, scenario-based), và Exploration Strategy (thám hiểm đơn tuyến hoặc song song). Thực nghiệm trên 11 startup với 43 trường hợp áp dụng.</t>
        </is>
      </c>
      <c r="I2" s="25" t="inlineStr">
        <is>
          <t>Khẳng định thực tế prototype hữu ích hơn hẳn văn bản đặc tả hình thức (formal specifications) để truyền đạt yêu cầu. Giảm thiểu rủi ro thiếu sót, mơ hồ và mâu thuẫn (incompleteness, ambiguity, inconsistency). Case Company J chứng minh tương tác thực tế giúp nhóm nhận diện ngay các yêu cầu bị bỏ sót nghiêm trọng ("missed several things").</t>
        </is>
      </c>
      <c r="J2" s="25" t="inlineStr">
        <is>
          <t>làm rõ xuất sắc: UI/UX, tính khả dụng (Usability), Customer Tasks/Flows, và PoC cho tính khả thi kỹ thuật (Technical Feasibility). Khó hoặc ít dùng trong giai đoạn đầu đối với: Kiểm chứng chất lượng phi chức năng sâu (Scalability, Robustness, Security).</t>
        </is>
      </c>
      <c r="K2" s="25" t="inlineStr">
        <is>
          <t>Thực nghiệm 43 prototyping instances tại 11 công ty công nghệ. Khẳng định executable/interactive prototype cung cấp môi trường biểu diễn phong phú, giải quyết bài toán thiếu tài liệu (minimal documentation) và căn chỉnh các góc nhìn vô hình/lệch pha giữa dev và stakeholder.</t>
        </is>
      </c>
      <c r="L2" s="25" t="inlineStr">
        <is>
          <t>Nguy cơ "Premature release pressure" (khách hàng tưởng sản phẩm đã hoàn thiện); nguy cơ "Cementing ideas too early" nếu code bằng source-code quá sớm; chi phí nhân sự và thời gian cao khi làm high-fidelity mockup.</t>
        </is>
      </c>
      <c r="M2" s="25" t="inlineStr">
        <is>
          <t>Khung mô hình PAM (Prototyping Aspects Model) là gì?
- Mô hình PAM phân tích prototype qua 5 khía cạnh cốt lõi:
+ Purpose (Mục đích - Why?): Thám hiểm giải pháp, giao tiếp căn chỉnh (alignment), kiểm chứng độ phù hợp bài toán - thị trường (Problem-Solution &amp; Product-Market Fit).
+Scope (Phạm vi - What?): Độ rộng tính năng (Breadth) và độ chi tiết (Functional Refinement, Visual, Interaction, Data Realism).
+Media (Vật liệu biểu diễn): Từ phác thảo giấy (paper sketch), wireframe, mockup đến phần mềm code thật và video.
+Use (Cách dùng - How?): Người đánh giá (Internal, External, FFF - Family/Friends/Foes), hình thức tương tác (bấm trực tiếp hay xem demo), và kịch bản (Scenario-based hay Free testing).
+Exploration Strategy (Chiến lược thám hiểm): Đi theo 1 hướng duy nhất (Single) hay song song nhiều hướng (Parallel).</t>
        </is>
      </c>
      <c r="N2" s="25" t="inlineStr">
        <is>
          <t>Bằng chứng thực nghiệm đối đầu: Prototype vs. Textual Spec (RQ6.2):
+ Các chuyên gia thực tế khẳng định: "Prototypes are more useful than a formal specification to communicate requirements" (Prototype hữu ích hơn đặc tả hình thức bằng văn bản để giao tiếp yêu cầu).
+ Bằng chứng tìm ra lỗi thiếu (Missing Requirements): Case study thực tế tại Company J chứng minh: khi đem prototype cho người ngoài thử nghiệm và "bắt người ở hành lang trải nghiệm thử", họ lập tức nhận ra cả nhóm đã bỏ sót nhiều yêu cầu nghiệp vụ quan trọng ("realised that we had missed several things").
+ Prototype là cứu cánh khi dự án có quá ít tài liệu (minimal documentation), giúp thống nhất những góc nhìn trừu tượng và lệch pha giữa các bên.</t>
        </is>
      </c>
      <c r="O2" s="25" t="inlineStr">
        <is>
          <t>Phân loại yêu cầu &amp; Cảnh báo rủi ro (RQ6.3 &amp; Research Gap):
+ Làm rõ tốt nhất: Giao diện người dùng (UI/UX), tính khả dụng (Usability), luồng tác vụ khách hàng và kiểm chứng tính khả thi kỹ thuật (Technical Feasibility).
Rủi ro lớn (Gotchas):
+ Áp lực bàn giao non (Premature Release Pressure): Khách hàng thấy prototype chạy đẹp mắt cứ tưởng phần mềm đã xong 90%, dẫn đến đòi bàn giao sớm trong khi kiến trúc ngầm chưa hoàn thiện.
+Đóng đinh tư duy quá sớm (Cementing Ideas Too Early): Nếu vội vã code prototype bằng mã nguồn thật (source code) quá sớm, nhóm phát triển sẽ bị "ngại đập đi xây lại", dẫn đến khóa chặt ý tưởng sai lầm.</t>
        </is>
      </c>
      <c r="P2" s="9" t="inlineStr">
        <is>
          <t>https://app.notion.com/p/Prototyping-v-vi-c-nh-n-di-n-c-c-y-u-c-u-thi-u-ho-c-ch-a-r-3e895ae094f980c18cbadf0e5b2c1b8a?source=copy_link</t>
        </is>
      </c>
      <c r="Q2" s="3" t="n"/>
      <c r="R2" s="3" t="n"/>
      <c r="S2" s="3" t="n"/>
      <c r="T2" s="3" t="n"/>
      <c r="U2" s="3" t="n"/>
      <c r="V2" s="3" t="n"/>
      <c r="W2" s="3" t="n"/>
      <c r="X2" s="3" t="n"/>
      <c r="Y2" s="3" t="n"/>
      <c r="Z2" s="3" t="n"/>
    </row>
    <row r="3" ht="22.5" customHeight="1" s="38">
      <c r="A3" s="18">
        <f>A2+1</f>
        <v/>
      </c>
      <c r="B3" s="18" t="inlineStr">
        <is>
          <t>rueda2020requirements</t>
        </is>
      </c>
      <c r="C3" s="18" t="inlineStr">
        <is>
          <t>Requirements elicitation methods based on interviews in comparison: A family of experiments</t>
        </is>
      </c>
      <c r="D3" s="18" t="inlineStr">
        <is>
          <t>Silvia Rueda, J. Ignacio Panach, and Damiano Distante (2020)</t>
        </is>
      </c>
      <c r="E3" s="18" t="inlineStr">
        <is>
          <t>Information and Software Technology (Elsevier), Vol. 126</t>
        </is>
      </c>
      <c r="F3" s="18" t="inlineStr">
        <is>
          <t>Downloaded (04_rueda2020requirements_Family_Experiments.pdf)</t>
        </is>
      </c>
      <c r="G3" s="10" t="inlineStr">
        <is>
          <t>https://doi.org/10.1016/j.infsof.2020.106354</t>
        </is>
      </c>
      <c r="H3" s="18" t="inlineStr">
        <is>
          <t>Family of experiments gồm 4 replications (167 sinh viên, 30 nhóm) so sánh 3 phương pháp: Paper Prototyping (PP), JAD, và Phỏng vấn phi cấu trúc (UI) qua 3 hệ thống (Hotel, Flight-sale, Cruiser). Dùng phác thảo giấy làm vật trung gian phỏng vấn.</t>
        </is>
      </c>
      <c r="I3" s="18" t="inlineStr">
        <is>
          <t>Dùng phép kiểm Kruskal-Wallis cho các mẫu độc lập: Paper Prototyping dẫn đầu về Tổng số lượng yêu cầu (Total Volume) với sự khác biệt có ý nghĩa thống kê (p = 0.02, effect size = 0.08). Tuy nhiên, về độ đầy đủ (Completeness: p = 0.17) và độ chính xác (Correctness/Quality: p = 0.59) thì không có khác biệt có ý nghĩa thống kê so với JAD và UI. Về độ trùng lặp (Overlapping: p = 0.03, effect size = 0.29), JAD ít trùng nhất nhờ scribe ghi chép, phỏng vấn chay trùng nhiều nhất.</t>
        </is>
      </c>
      <c r="J3" s="18" t="inlineStr">
        <is>
          <t>Hiệu quả vượt trội ở Functional Requirements và bố cục màn hình/giao diện (UI layout). Lép vế hoàn toàn ở Non-Functional Requirements (NFRs) (kết quả thấp nhất, trong khi JAD khơi gợi NFRs tốt nhất).</t>
        </is>
      </c>
      <c r="K3" s="18" t="inlineStr">
        <is>
          <t>Phép kiểm thống kê Kruskal-Wallis. Thí nghiệm kiểm soát chặt chẽ: Paper Prototyping kích thích trực quan lôi ra nhiều yêu cầu bị sót nhất (p = 0.02); thời gian chuẩn bị vẽ giấy (median 145 phút) thấp hơn JAD nhưng cao hơn phỏng vấn chay. JAD tối ưu nhất về kiểm soát trùng lặp (p = 0.03) nhờ vai trò của scribe.</t>
        </is>
      </c>
      <c r="L3" s="18" t="inlineStr">
        <is>
          <t>Ảo giác thị giác (Visual bias) khiến người tham gia mải nhìn UI mà quên NFRs và logic ngầm. Độ đầy đủ và chất lượng không đạt ý nghĩa thống kê (p=0.17 và 0.59) do Low Statistical Power (chỉ có 30 nhóm thực nghiệm - cần 102 nhóm để đạt statistical power tối ưu). Đối tượng là sinh viên đại học (thiếu bối cảnh công nghiệp).</t>
        </is>
      </c>
      <c r="M3" s="14" t="inlineStr">
        <is>
          <t>Tại sao lại cần Prototype? (Why?):Bối cảnh: Phỏng vấn truyền thống không có hiện vật trực quan (Unstructured Interviews) thường thu thập được ít yêu cầu nhất và dễ bị trùng lặp (overlapping requirements).Cơ chế: Paper Prototyping đóng vai trò là một "bản tóm tắt trực quan" (visual summary) các màn hình/cửa sổ ứng dụng, giúp cả người dùng lẫn người phỏng vấn neo giữ bối cảnh, từ đó khai thác được tổng số lượng yêu cầu cao nhất trong cả 3 phương pháp ($p = 0.02$).</t>
        </is>
      </c>
      <c r="N3" s="14" t="inlineStr">
        <is>
          <t>Người ta áp dụng sao? (How?):
Thiết lập thực nghiệm: Chuỗi thí nghiệm (family of experiments) gồm 4 lần lặp lại (replications) qua 3 năm học với 167 sinh viên ngành Kỹ thuật Phần mềm (30 nhóm) trên 3 bài toán phần mềm thực tế (Quản lý khách sạn, Đặt vé máy bay, Quản lý du thuyền).
Quy trình: Dùng bản phác thảo giao diện trên giấy (Paper mock-ups) làm công cụ trung gian đối chiếu trực tiếp với người dùng trong suốt phiên phỏng vấn.</t>
        </is>
      </c>
      <c r="O3" s="14" t="inlineStr">
        <is>
          <t>Người ta chia thành mấy loại? (Taxonomy &amp; Rào cản):
Loại prototype: Low-fidelity Paper Prototyping (phác thảo giấy về cửa sổ, màn hình giao diện).
Loại yêu cầu:
Functional Requirements (Chức năng &amp; Màn hình): Paper Prototyping đứng đầu về số lượng khơi gợi được.
Non-Functional Requirements (Phi chức năng - NFRs): Paper Prototyping yếu nhất, thu thập được ít NFRs nhất; trong khi phương pháp thảo luận nhóm JAD lại vượt trội hoàn toàn ở mảng NFRs.
Hạn chế lớn nhất: Đối tượng thực nghiệm hoàn toàn là sinh viên (chưa có kinh nghiệm công nghiệp thực tế); cỡ mẫu nhóm còn hạn chế (30 nhóm).</t>
        </is>
      </c>
      <c r="P3" s="12" t="inlineStr">
        <is>
          <t>https://app.notion.com/p/Rueda-et-al-2020-3e895ae094f980c0b3f0d9142a7be076?source=copy_link</t>
        </is>
      </c>
      <c r="Q3" s="3" t="n"/>
      <c r="R3" s="3" t="n"/>
      <c r="S3" s="3" t="n"/>
      <c r="T3" s="3" t="n"/>
      <c r="U3" s="3" t="n"/>
      <c r="V3" s="3" t="n"/>
      <c r="W3" s="3" t="n"/>
      <c r="X3" s="3" t="n"/>
      <c r="Y3" s="3" t="n"/>
      <c r="Z3" s="3" t="n"/>
    </row>
    <row r="4" ht="162" customHeight="1" s="38">
      <c r="A4" s="18">
        <f>A3+1</f>
        <v/>
      </c>
      <c r="B4" s="18" t="inlineStr">
        <is>
          <t>abad2018loud</t>
        </is>
      </c>
      <c r="C4" s="18" t="inlineStr">
        <is>
          <t>Loud and Interactive Paper Prototyping in Requirements Elicitation: What is it Good for?</t>
        </is>
      </c>
      <c r="D4" s="18" t="inlineStr">
        <is>
          <t>Zahra Shakeri Hossein Abad et al. (2018)</t>
        </is>
      </c>
      <c r="E4" s="18" t="inlineStr">
        <is>
          <t>IEEE 25th International Requirements Engineering Conference Workshops (REW / EmpiRE)</t>
        </is>
      </c>
      <c r="F4" s="18" t="inlineStr">
        <is>
          <t>Downloaded (05_abad2018loud_Interactive_Paper_Prototyping.pdf)</t>
        </is>
      </c>
      <c r="G4" s="10" t="inlineStr">
        <is>
          <t>https://doi.org/10.1109/REW.2018.00010</t>
        </is>
      </c>
      <c r="H4" s="18" t="inlineStr">
        <is>
          <t>Đánh giá kỹ thuật Loud and Interactive Paper Prototyping (LPP) dựa trên Wizard of Oz (WOz) kết hợp Think-aloud protocol trên 183 người (50 nhóm phát triển Mobile App) qua 3 năm. So sánh 3 nhóm: LPP (tương tác + nói to suy nghĩ), SPP (tương tác im lặng), và NPP (họp thông thường không có prototype).</t>
        </is>
      </c>
      <c r="I4" s="18" t="inlineStr">
        <is>
          <t>LPP đánh bại cuộc họp truyền thống (NPP) về phát hiện UI (p = 0.0001), thêm yêu cầu mới Additions (p = 0.0001), sửa đổi yêu cầu mơ hồ Modifications (p = 0.01). LPP vượt trội có ý nghĩa thống kê so với SPP ở việc làm rõ và điều chỉnh Functional Requirements (p = 0.01). 36% nhóm làm rõ được FRs, 20% phát hiện thêm trạng thái/luồng bị bỏ sót.</t>
        </is>
      </c>
      <c r="J4" s="18" t="inlineStr">
        <is>
          <t>Đột phá NFRs: Bắt trọn các NFRs về Usability, Navigation và Learnability (p = 0.001 so với NPP). 50% nhóm ghi nhận bắt được NFRs (36% Usability, 46% UI clarification, 10% Navigation/Learnability). Phát hiện thiếu nút Back bắt buộc và chế độ offline/survival mode.</t>
        </is>
      </c>
      <c r="K4" s="18" t="inlineStr">
        <is>
          <t>Kruskal-Wallis test kết hợp Qualitative open coding (NVivo) và LDA topic modeling (k=3). Cung cấp bằng chứng thực nghiệm giải cứu điểm mù NFR của paper prototype bằng cách biến trải nghiệm ẩn thành lời nói quan sát được.</t>
        </is>
      </c>
      <c r="L4" s="18" t="inlineStr">
        <is>
          <t>Think-aloud làm chậm tốc độ hoàn thành tác vụ (làm nhiễu thước đo learnability time); người dùng có thể ngại nói nếu chưa định hình suy nghĩ; phụ thuộc vào kinh nghiệm và sự nhanh nhẹn của facilitator khi tráo giấy Wizard of Oz. Đối tượng là sinh viên.</t>
        </is>
      </c>
      <c r="M4" s="14" t="inlineStr">
        <is>
          <t>Tại sao lại cần Loud &amp; Interactive Paper Prototype? (Why?):
- Bối cảnh &amp; Vấn đề: Trong các buổi họp truyền thống (NPP), khách hàng rất khó hình dung luồng màn hình; còn nếu dùng mẫu thử im lặng (Silent - SPP), nhà phân tích chỉ thấy người dùng bấm sai mà không hiểu tại sao họ bối rối.
- Cơ chế: Khi người dùng vừa thao tác vừa "nghĩ thành tiếng" (Think aloud), các tri thức ngầm và sự đứt gãy nhận thức được bộc lộ ngay lập tức. Nhờ đó, nhóm phát triển nhận diện được các chức năng bị bỏ quên (như thiếu nút Back để quay về menu) và sửa chữa các giả định sai về luồng dữ liệu.</t>
        </is>
      </c>
      <c r="N4" s="14" t="inlineStr">
        <is>
          <t>Người ta áp dụng sao? (How?):
- Môi trường &amp; Quy mô: 183 sinh viên chia thành 50 nhóm phát triển ứng dụng di động (Mobile Apps).
-Quy trình triển khai: Kết hợp 3 kỹ thuật: Phác thảo (Sketching) + Kịch bản hình ảnh (Storyboarding) + Mô phỏng Wizard of Oz (WOz). Người dùng chạm tay vào bản vẽ giấy, người điều phối lập tức tráo đổi tờ giấy khác để giả lập phản hồi của máy bay/điện thoại, kết hợp người dùng nói liên tục suy nghĩ trong đầu.</t>
        </is>
      </c>
      <c r="O4" s="14" t="inlineStr">
        <is>
          <t>Người ta chia thành mấy loại? (Taxonomy &amp; RQ6.3): - Phân loại so sánh: 3 nhóm thực nghiệm: Loud Paper Prototyping (LPP) vs Silent Paper Prototyping (SPP) vs No Paper Prototyping (NPP - Họp truyền thống).                                                                                     - Phân loại theo loại yêu cầu:                                                                                                                                                                               + UI Requirements: Prototyping vượt trội áp đảo ($p = 0.0001$).                                                                                                                                               + Non-Functional Requirements (NFRs): Đạt bước đột phá khi 50% nhóm ghi nhận bắt trọn NFRs cực tốt, chủ yếu ở Usability,  Navigation và Learnability ($p = 0.001$ so với họp truyền thống).                                                                                                                + Functional Requirements (FRs): LPP vượt trội có ý nghĩa thống kê so với Silent Prototyping ($p = 0.01$) trong việc sửa đổi và làm rõ chức năng.                                                                                                                                                                                                   Hạn chế: Việc vừa nói vừa bấm làm chậm tốc độ thao tác, gây sai lệch khi đo thời gian học hệ thống (learnability time); tiềm ẩn rủi ro thiên vị do người điều phối (facilitator bias).</t>
        </is>
      </c>
      <c r="P4" s="12" t="inlineStr">
        <is>
          <t>https://app.notion.com/p/The-Impact-of-Loud-and-Interactive-Paper-Prototyping-on-Requirements-Elicitation-Abad-et-al-2018-3e995ae094f9806fb551dc00568e689c?source=copy_link</t>
        </is>
      </c>
      <c r="Q4" s="3" t="n"/>
      <c r="R4" s="3" t="n"/>
      <c r="S4" s="3" t="n"/>
      <c r="T4" s="3" t="n"/>
      <c r="U4" s="3" t="n"/>
      <c r="V4" s="3" t="n"/>
      <c r="W4" s="3" t="n"/>
      <c r="X4" s="3" t="n"/>
      <c r="Y4" s="3" t="n"/>
      <c r="Z4" s="3" t="n"/>
    </row>
    <row r="5" ht="22.5" customHeight="1" s="38">
      <c r="A5" s="18">
        <f>A4+1</f>
        <v/>
      </c>
      <c r="B5" s="18" t="inlineStr">
        <is>
          <t>uv2023empirical</t>
        </is>
      </c>
      <c r="C5" s="18" t="inlineStr">
        <is>
          <t>An empirical experiment of a usability requirements elicitation method to design GUIs based on interviews</t>
        </is>
      </c>
      <c r="D5" s="18" t="inlineStr">
        <is>
          <t>E. Ormeño, J. I. Panach, and O. Pastor (2023)</t>
        </is>
      </c>
      <c r="E5" s="18" t="inlineStr">
        <is>
          <t>Information and Software Technology (Elsevier), Vol. 157</t>
        </is>
      </c>
      <c r="F5" s="18" t="inlineStr">
        <is>
          <t>Downloaded (06_uv2023empirical_GUI_Usability_Elicitation.pdf)</t>
        </is>
      </c>
      <c r="G5" s="18" t="inlineStr">
        <is>
          <t>https://doi.org/10.1016/j.infsof.2023.107147</t>
        </is>
      </c>
      <c r="H5" s="18" t="inlineStr">
        <is>
          <t>Đề xuất phương pháp UREM kết hợp giữa tạo mẫu GUI trên giấy và Cây quyết định (Decision Tree) dựa trên hướng dẫn Usability để dẫn dắt phỏng vấn khơi gợi yêu cầu. Thiết kế Within-subjects đo lường lặp lại qua 2 lần lặp (48 sinh viên CS, 24 cặp) trên 2 hệ thống Mobile Health và Mobile Banking.</t>
        </is>
      </c>
      <c r="I5" s="18" t="inlineStr">
        <is>
          <t>UREM vượt trội so với phỏng vấn phi cấu trúc thông thường về hiệu quả khơi gợi yêu cầu khả dụng (p = 0.000, partial eta^2 = 0.274, statistical power = 0.978) và mức độ tuân thủ hướng dẫn thiết kế (p = 0.000, partial eta^2 = 0.571, power = 1.000). Về mặt hiệu suất thời gian, UREM không làm tốn thêm thời gian của Analyst (p = 0.220).</t>
        </is>
      </c>
      <c r="J5" s="18" t="inlineStr">
        <is>
          <t>Làm rõ xuất sắc nhóm yêu cầu Usability/UI và loại bỏ triệt để các lỗi thiếu sót hiển thị: thông báo trường bắt buộc (dấu * đỏ), hộp thoại báo lỗi (modal error dialogs), menu thả xuống (dropdowns), văn bản thay thế (alt-text) và icon trợ giúp đa phương thức.</t>
        </is>
      </c>
      <c r="K5" s="18" t="inlineStr">
        <is>
          <t>Thực nghiệm kiểm soát chặt chẽ 24 cặp trên 2 ứng dụng di động. Kết quả khẳng định GUI mockup có cấu trúc giúp chuyển đổi các lựa chọn khả dụng ngầm ẩn thành thiết kế cụ thể, kiểm chứng được với độ tin cậy tuyệt đối (power 0.978 và 1.000).</t>
        </is>
      </c>
      <c r="L5" s="18" t="inlineStr">
        <is>
          <t>Đối tượng tham gia là sinh viên và học viên thạc sĩ (cần mở rộng sang doanh nghiệp); hiệu suất thời gian có power thấp (0.230) và phụ thuộc vào bài toán; tạo mẫu có cấu trúc giúp làm rõ và vận hành hóa yêu cầu Usability/NFR nhưng không đảm bảo 100% hoàn hảo tuyệt đối.</t>
        </is>
      </c>
      <c r="M5" s="14" t="inlineStr">
        <is>
          <t>Tại sao lại cần Prototype kết hợp Cây quyết định? (Why?):
- Bối cảnh &amp; Vấn đề: Phỏng vấn phi cấu trúc truyền thống thường bỏ sót các yêu cầu về Usability (tính khả dụng) và chi tiết giao diện; kỹ sư RE và khách hàng thiếu ngôn ngữ chung để hình dung hành vi tương tác.
- Cơ chế: Phương pháp UREM kết hợp Low-fidelity GUI Paper Mockup và Cây quyết định (Decision Tree dựa trên hướng dẫn công thái học). Mockup trực quan hóa không gian tương tác, còn Cây quyết định dẫn dắt phân tích viên đặt đúng câu hỏi logic, ngăn ngừa bỏ sót các thuộc tính giao diện then chốt.</t>
        </is>
      </c>
      <c r="N5" s="14" t="inlineStr">
        <is>
          <t>Người ta áp dụng sao? (How?):
- Thiết kế thực nghiệm: Thực nghiệm trong nhóm (Within-subjects design) gồm 48 người tham gia (24 cặp gồm 1 phân tích viên và 1 khách hàng) qua 2 giai đoạn (Phase 1 &amp; Phase 2) trên 2 ứng dụng di động thực tế (Mobile Health và Mobile Banking).
- Quy trình: Mỗi phiên phỏng vấn kéo dài 40 phút. Nhóm thực nghiệm áp dụng UREM: vừa vẽ phác thảo màn hình (GUI mockup) vừa tra cứu cây quyết định để hỏi khách hàng về phản hồi hệ thống, ràng buộc dữ liệu. Nhóm đối chứng dùng phỏng vấn truyền thống không có mockup/decision tree. Phân tích thống kê bằng mô hình GLM Repeated Measures.</t>
        </is>
      </c>
      <c r="O5" s="14" t="inlineStr">
        <is>
          <t>Người ta chia thành mấy loại? (Taxonomy &amp; RQ6.3):
- Phân loại so sánh: UREM (GUI Paper Mockup + Usability Decision Tree) vs Phỏng vấn phi cấu trúc thông thường.
- Loại yêu cầu làm rõ tốt nhất (RQ6.3):
  + Usability &amp; GUI Requirements: Hiệu quả khơi gợi vượt trội có ý nghĩa thống kê cao ($p = 0.000$, effect size $\eta^2 = 0.274$, Statistical Power = 0.978), thu thập nhiều hơn 28.5% yêu cầu tính khả dụng.
  + Tuân thủ nguyên tắc Usability (Guideline Adherence): Vượt trội áp đảo ($p = 0.000$, $\eta^2 = 0.571$, Power = 1.000).
  + Các yêu cầu/thiếu sót cụ thể được làm rõ: Dấu hoa thị `*` cho trường bắt buộc (mandatory fields), hộp thoại thông báo lỗi (modal error dialogs), danh sách chọn (dropdown) tránh lỗi chính tả, văn bản hướng dẫn/tooltip (help-icon).
  + Hiệu suất thời gian (Efficiency): Không có khác biệt thống kê ($p = 0.220$), chứng minh chất lượng tăng vọt mà không làm phát sinh lãng phí thời gian.
- Hạn chế: Thực hiện trên sinh viên và học viên cao học, cần mở rộng sang môi trường doanh nghiệp thực tế.</t>
        </is>
      </c>
      <c r="P5" s="14" t="n"/>
      <c r="Q5" s="3" t="n"/>
      <c r="R5" s="3" t="n"/>
      <c r="S5" s="3" t="n"/>
      <c r="T5" s="3" t="n"/>
      <c r="U5" s="3" t="n"/>
      <c r="V5" s="3" t="n"/>
      <c r="W5" s="3" t="n"/>
      <c r="X5" s="3" t="n"/>
      <c r="Y5" s="3" t="n"/>
      <c r="Z5" s="3" t="n"/>
    </row>
    <row r="6" ht="22.5" customHeight="1" s="38">
      <c r="A6" s="18">
        <f>A5+1</f>
        <v/>
      </c>
      <c r="B6" s="18" t="inlineStr">
        <is>
          <t>rej2022evolve</t>
        </is>
      </c>
      <c r="C6" s="18" t="inlineStr">
        <is>
          <t>How do requirements evolve during elicitation? An empirical study combining interviews and app store analysis</t>
        </is>
      </c>
      <c r="D6" s="18" t="inlineStr">
        <is>
          <t>A. Ferrari, P. Spoletini, and S. Debnath (2022)</t>
        </is>
      </c>
      <c r="E6" s="18" t="inlineStr">
        <is>
          <t>Requirements Engineering (Springer), Vol. 27(4), pp. 489–519</t>
        </is>
      </c>
      <c r="F6" s="18" t="inlineStr">
        <is>
          <t>Downloaded (07_rej2022evolve_Requirements_Evolution.pdf)</t>
        </is>
      </c>
      <c r="G6" s="18" t="inlineStr">
        <is>
          <t>https://doi.org/10.1007/s00766-022-00383-7</t>
        </is>
      </c>
      <c r="H6" s="18" t="inlineStr">
        <is>
          <t>Khảo sát sự tiến hóa yêu cầu (Requirements Evolution) và cơ chế "đồng kiến tạo" (co-creation). So sánh giữa phỏng vấn truyền thống và tương tác với mẫu tham chiếu trực quan (app store / reference prototypes) để hoàn thiện User Stories.</t>
        </is>
      </c>
      <c r="I6" s="18" t="inlineStr">
        <is>
          <t>Bằng chứng thực nghiệm đối đầu: Phỏng vấn bằng lời chỉ giữ lại 30–38% ý tưởng gốc và bỏ sót nhiều yêu cầu. Khi tương tác trực tiếp với sản phẩm/mẫu trực quan, nhà phân tích phát hiện và bổ sung thêm 42% yêu cầu bị thiếu (missing requirements).</t>
        </is>
      </c>
      <c r="J6" s="18" t="inlineStr">
        <is>
          <t>Phỏng vấn bằng lời thuần túy chỉ tập trung vào chức năng nghiệp vụ nội bộ. Tương tác với mẫu thực tế làm tăng vọt 45% sự chú ý tới tính khả dụng (Usability), đồng thời làm rõ các yêu cầu phi chức năng (NFRs) cốt lõi như Bảo mật (Security), Quyền riêng tư (Privacy), và Thanh toán (Payment).</t>
        </is>
      </c>
      <c r="K6" s="18" t="inlineStr">
        <is>
          <t>Thực nghiệm kiểm soát 2 giai đoạn trên 30 nhà phân tích (analysts). Kiểm định thống kê 95% tin cậy (Shapiro-Wilk, One-sample t-test &amp; Percentile method): Conservation rate chỉ đạt 30–38%, 21% chủ đề hoàn toàn mới xuất hiện; tương tác mẫu tham chiếu giúp bổ sung tới 42% yêu cầu bị thiếu, mức độ quan tâm Usability tăng 45%.</t>
        </is>
      </c>
      <c r="L6" s="18" t="inlineStr">
        <is>
          <t>Giai đoạn 2 chỉ cho phép thêm mới (extension) mà chưa đo lường chỉnh sửa/xóa (edit/deletion); đối tượng thực nghiệm là sinh viên phần mềm đóng vai analyst với một khách hàng giả định; cần mở rộng bối cảnh ngoài ứng dụng di động.</t>
        </is>
      </c>
      <c r="M6" s="14" t="inlineStr">
        <is>
          <t>Tại sao lại cần Prototype / Mẫu tham chiếu tương tác? (Why?):
- Bối cảnh &amp; Vấn đề: Ảo tưởng về "thu thập yêu cầu" (Elicitation Fallacy) xem yêu cầu như có sẵn trong đầu khách hàng. Thực tế, phỏng vấn bằng lời thuần túy khiến hơn 60% yêu cầu bị biến dạng và bỏ sót nghiêm trọng các khía cạnh trải nghiệm thực tế.
- Cơ chế: Yêu cầu là quá trình "đồng kiến tạo" (co-creation). Tương tác với mẫu tham chiếu trực quan (reference prototypes / app store exploration) đóng vai trò như "chất xúc tác nhận thức" (cognitive catalyst), kích hoạt tri thức ẩn của cả khách hàng lẫn người phân tích để nhận diện các thiếu sót.</t>
        </is>
      </c>
      <c r="N6" s="14" t="inlineStr">
        <is>
          <t>Người ta áp dụng sao? (How?):
- Thiết kế thực nghiệm: Nghiên cứu thực nghiệm 2 giai đoạn (Phase I: Phỏng vấn tương tác 2 vòng với khách hàng; Phase II: Khám phá và tương tác trực tiếp 5 ứng dụng tham chiếu trên App Store/Google Play) với 30 nhà phân tích trên bài toán Quản lý trại hè dã ngoại.
- Quy trình: Mỗi analyst phỏng vấn khách hàng để sinh 50-60 User Stories ban đầu, sau đó tải và trải nghiệm các app thực tế, đọc review người dùng để viết bổ sung 20 User Stories. Các tác giả tiến hành mã hóa và phân tích định lượng (t-test, percentile method, 95% CI) về độ bảo tồn và mức độ tiến hóa yêu cầu.</t>
        </is>
      </c>
      <c r="O6" s="14" t="inlineStr">
        <is>
          <t>Người ta chia thành mấy loại? (Taxonomy &amp; RQ6.3):
- Phân loại so sánh: Phỏng vấn bằng lời truyền thống (Interview-based) vs Khám phá mẫu tham chiếu tương tác (App Store-inspired Prototyping).
- Phân loại yêu cầu &amp; Tỷ lệ thay đổi:
  + Functional Requirements: Chiếm đa số ở phỏng vấn ban đầu nhưng chỉ giữ lại 30-38% nguyên bản, bổ sung thêm 42% yêu cầu chức năng mới sau khi tương tác mẫu thử.
  + Usability Requirements: Tăng vọt thêm 45% sau khi tương tác với sản phẩm trực quan, chứng minh prototype là công cụ hiệu quả nhất để khai phá yêu cầu tính khả dụng.
  + Non-Functional Requirements (NFRs): Các nhóm NFRs ẩn như Security, Privacy (theo dõi vị trí trẻ em), và Payment chỉ xuất hiện và được hoàn thiện khi người phân tích quan sát sản phẩm thực tế.
- Hạn chế: Thử nghiệm trên bài toán mobile app với sinh viên kỹ thuật; chưa đo lường thao tác xóa yêu cầu sai lệch ở giai đoạn 2.</t>
        </is>
      </c>
      <c r="P6" s="14" t="inlineStr">
        <is>
          <t>https://doi.org/10.1007/s00766-022-00383-7</t>
        </is>
      </c>
      <c r="Q6" s="3" t="n"/>
      <c r="R6" s="3" t="n"/>
      <c r="S6" s="3" t="n"/>
      <c r="T6" s="3" t="n"/>
      <c r="U6" s="3" t="n"/>
      <c r="V6" s="3" t="n"/>
      <c r="W6" s="3" t="n"/>
      <c r="X6" s="3" t="n"/>
      <c r="Y6" s="3" t="n"/>
      <c r="Z6" s="3" t="n"/>
    </row>
    <row r="7" ht="22.5" customHeight="1" s="38">
      <c r="A7" s="18">
        <f>A6+1</f>
        <v/>
      </c>
      <c r="B7" s="18" t="inlineStr">
        <is>
          <t>jserd2019protopersona</t>
        </is>
      </c>
      <c r="C7" s="18" t="inlineStr">
        <is>
          <t>On the contributions of non-technical stakeholders to describing UX requirements by using proto-persona+</t>
        </is>
      </c>
      <c r="D7" s="18" t="inlineStr">
        <is>
          <t>E. Pinheiro, L. Lopes, T. Conte, and L. Zaina (2019)</t>
        </is>
      </c>
      <c r="E7" s="18" t="inlineStr">
        <is>
          <t>Journal of Software Engineering Research and Development (JSERD), Vol. 7, No. 8</t>
        </is>
      </c>
      <c r="F7" s="18" t="inlineStr">
        <is>
          <t>Downloaded (08_jserd2019protopersona_UX_Requirements.pdf)</t>
        </is>
      </c>
      <c r="G7" s="18" t="inlineStr">
        <is>
          <t>https://doi.org/10.5753/jserd.2019.155</t>
        </is>
      </c>
      <c r="H7" s="18" t="inlineStr">
        <is>
          <t>Kết hợp kỹ thuật Proto-persona+ (4 góc phần tư) với phác thảo bản vẽ trên giấy (Paper sketches / Storyboards) và kịch bản để tạo điều kiện cho các bên liên quan phi kỹ thuật (Non-technical stakeholders) tham gia chủ động vào việc khơi gợi và định hình prototype giao diện.</t>
        </is>
      </c>
      <c r="I7" s="18" t="inlineStr">
        <is>
          <t>Bằng chứng thực nghiệm 2 vòng: Văn bản đặc tả truyền thống và tư duy kỹ sư chỉ tập trung vào việc tránh lỗi kỹ thuật; việc kết hợp Proto-persona+ và phác thảo trực quan giúp khơi gợi trọn vẹn các yêu cầu UX bị che khuất trong văn bản, hỗ trợ 36 lập trình viên hiện thực hóa giải pháp chính xác.</t>
        </is>
      </c>
      <c r="J7" s="18" t="inlineStr">
        <is>
          <t>Làm rõ xuất sắc nhóm Yêu cầu Trải nghiệm người dùng (UX Requirements) và Khả năng tiếp cận (Accessibility). Nhóm phi kỹ thuật (các nhà sư phạm) phát hiện ra các yêu cầu cảm xúc (học tập phải vui vẻ, tạo động lực) và hỗ trợ người dùng có nhu cầu đặc biệt (khiếm thị, giảm chú ý ADHD) mà kỹ sư phần mềm hoàn toàn bỏ sót.</t>
        </is>
      </c>
      <c r="K7" s="18" t="inlineStr">
        <is>
          <t>Nghiên cứu thực nghiệm 2 vòng: Vòng 1 gồm 8 nhà sư phạm và 5 kỹ sư xây dựng proto-persona+; Vòng 2 gồm 36 lập trình viên (18 cặp) tạo storyboard/prototype từ các artifact này. Đánh giá TAM cho thấy mức độ chấp nhận cao (100% đánh giá góc mục tiêu là Rất quan trọng). Góc nhìn phi kỹ thuật bổ sung các chiều UX về kích thích và giá trị học tập.</t>
        </is>
      </c>
      <c r="L7" s="18" t="inlineStr">
        <is>
          <t>Cỡ mẫu chuyên gia ở Vòng 1 còn khiêm tốn (13 người); tập trung vào miền ứng dụng e-learning trên di động; dữ liệu định lượng chủ yếu minh họa cho phân tích định tính (open coding).</t>
        </is>
      </c>
      <c r="M7" s="14" t="inlineStr">
        <is>
          <t>Tại sao lại cần Proto-persona+ &amp; Paper Prototyping? (Why?):
- Bối cảnh &amp; Vấn đề: Khoảng cách giao tiếp và thấu cảm giữa kỹ sư phần mềm (tư duy kỹ thuật, logic hệ thống) và người dùng cuối. Tài liệu văn bản (SRS, User Stories) quá trừu tượng khiến các bên liên quan phi kỹ thuật (Non-technical stakeholders) gặp khó khăn khi diễn đạt mong muốn. Persona truyền thống thì tốn quá nhiều thời gian và chi phí khảo sát.
- Cơ chế: Proto-persona+ đóng vai trò vật trung gian nhận thức (boundary object) nhanh gọn, giúp các bên liên quan phi kỹ thuật kích hoạt tri thức trải nghiệm thực tế, truyền tải sự thấu cảm và bối cảnh sử dụng vào phác thảo giao diện mà không cần kỹ năng lập trình.</t>
        </is>
      </c>
      <c r="N7" s="14" t="inlineStr">
        <is>
          <t>Người ta áp dụng sao? (How?):
- Thiết kế thực nghiệm: Thực nghiệm 2 vòng (Round 1: Xây dựng proto-persona+ với 8 nhà sư phạm và 5 kỹ sư phần mềm; Round 2: 36 lập trình viên chia 18 cặp tiến hành tạo low-fidelity prototype/storyboards dựa trên các hồ sơ người dùng đó).
- Quy trình: Áp dụng khung 4 góc phần tư (nhân khẩu, mục tiêu, sở thích, khó khăn) kết hợp các câu hỏi dẫn dắt (guideline questions). Đánh giá chất lượng UX theo 6 chiều (truy cập, phương tiện, tổ chức, kích thích, giá trị, tương tác) và kiểm định mức độ chấp nhận công nghệ (TAM).</t>
        </is>
      </c>
      <c r="O7" s="14" t="inlineStr">
        <is>
          <t>Người ta chia thành mấy loại? (Taxonomy &amp; RQ6.3):
- Phân loại bên liên quan: Technical Stakeholders (Kỹ sư phần mềm) vs Non-technical Stakeholders (Nhà sư phạm / Giáo viên).
- Phân loại yêu cầu UX:
  + Kỹ thuật: Tập trung vào tính dễ dùng thực dụng (easiness of use, tránh ức chế, truy cập thiết bị).
  + Phi kỹ thuật: Đóng góp đột phá vào UX cảm xúc (enjoyment, fun, động lực học tập) và khả năng tiếp cận (người dùng khiếm thị, giảm chú ý ADHD).
  + Prototyping Support (RQ3): Cả hai góc nhìn bổ trợ cho nhau giúp lập trình viên thiết kế giao diện giàu tính nhân văn và hạn chế lỗi thiếu sót chức năng.</t>
        </is>
      </c>
      <c r="P7" s="14" t="inlineStr">
        <is>
          <t>https://doi.org/10.5753/jserd.2019.155</t>
        </is>
      </c>
      <c r="Q7" s="3" t="n"/>
      <c r="R7" s="3" t="n"/>
      <c r="S7" s="3" t="n"/>
      <c r="T7" s="3" t="n"/>
      <c r="U7" s="3" t="n"/>
      <c r="V7" s="3" t="n"/>
      <c r="W7" s="3" t="n"/>
      <c r="X7" s="3" t="n"/>
      <c r="Y7" s="3" t="n"/>
      <c r="Z7" s="3" t="n"/>
    </row>
    <row r="8" ht="22.5" customHeight="1" s="38">
      <c r="A8" s="18">
        <f>A7+1</f>
        <v/>
      </c>
      <c r="B8" s="18" t="inlineStr">
        <is>
          <t>antonelli2022iterative</t>
        </is>
      </c>
      <c r="C8" s="18" t="inlineStr">
        <is>
          <t>An Iterative and Collaborative Approach to Specify Scenarios using Natural Language</t>
        </is>
      </c>
      <c r="D8" s="18" t="inlineStr">
        <is>
          <t>L. Antonelli, J. Delle Ville, F. Dioguardi, and A. Fernandez et al. (2022)</t>
        </is>
      </c>
      <c r="E8" s="18" t="inlineStr">
        <is>
          <t>Proceedings of the 25th Workshop on Requirements Engineering (WER 2022)</t>
        </is>
      </c>
      <c r="F8" s="18" t="inlineStr">
        <is>
          <t>Downloaded (09_antonelli2022iterative_Natural_Language_Scenarios.pdf)</t>
        </is>
      </c>
      <c r="G8" s="18" t="inlineStr">
        <is>
          <t>https://doi.org/10.48550/arXiv.2209.00000</t>
        </is>
      </c>
      <c r="H8" s="18" t="inlineStr">
        <is>
          <t>Quy trình lặp và cộng tác (Iterative &amp; Collaborative) kết hợp giữa kịch bản ngôn ngữ tự nhiên (Natural Language Scenarios) và công cụ prototype tương tác được hỗ trợ bởi xử lý ngôn ngữ tự nhiên (NLP) và đồ thị tri thức (Knowledge Graph).</t>
        </is>
      </c>
      <c r="I8" s="18" t="inlineStr">
        <is>
          <t>Loại bỏ xung đột diễn giải (conflicting interpretations) trong tài liệu văn bản; phát hiện các bẫy ngôn từ gây mơ hồ (phó từ mơ hồ, từ suy đoán could/should/might) và khai quật các luồng xử lý ngoại lệ bị bỏ sót (missing alternative/exceptional flows).</t>
        </is>
      </c>
      <c r="J8" s="18" t="inlineStr">
        <is>
          <t>Làm rõ xuất sắc nhóm Yêu cầu Chức năng (Functional Logic), Luồng quy trình nghiệp vụ (Business Rules), và Kịch bản ca sử dụng (Use Case Scenarios). Hạn chế sự mơ hồ về ngữ nghĩa và điều kiện rẽ nhánh.</t>
        </is>
      </c>
      <c r="K8" s="18" t="inlineStr">
        <is>
          <t>Đánh giá thực nghiệm quy trình viết và thẩm định kịch bản bằng thang đo SUS (System Usability Scale) đạt điểm số 70.53 (mức Acceptable). 4 quy tắc kiểm chứng tự động giúp bóc tách triệt để các câu điều kiện thiếu Else, lựa chọn Or chưa phân nhánh, và từ ngữ ước chừng.</t>
        </is>
      </c>
      <c r="L8" s="18" t="inlineStr">
        <is>
          <t>Công cụ phần mềm hỗ trợ là prototype thử nghiệm; nghiên cứu thực nghiệm cần mở rộng cỡ mẫu đánh giá trên các dự án quy mô công nghiệp lớn.</t>
        </is>
      </c>
      <c r="M8" s="14" t="inlineStr">
        <is>
          <t>Tại sao lại cần Prototype kết hợp Kịch bản ngôn ngữ tự nhiên? (Why?):
- Bối cảnh &amp; Vấn đề: Kịch bản (Scenarios / Use Cases) viết bằng ngôn ngữ tự nhiên luôn chứa đầy bẫy ngôn từ: phó từ mơ hồ, từ ước chừng (could, might, should), điều kiện If thiếu Else, và lựa chọn Or không phân nhánh. Khách hàng và lập trình viên đọc cùng một câu nhưng hình dung ra 2 hệ thống khác nhau.
- Cơ chế: Prototype tương tác đóng vai trò vật đối chiếu trực quan trong chu trình lặp (collaborative loop). Khi người dùng bấm thử trên màn hình, các câu chữ mơ hồ và các nhánh ngoại lệ bị bỏ quên lập tức lộ diện.</t>
        </is>
      </c>
      <c r="N8" s="14" t="inlineStr">
        <is>
          <t>Người ta áp dụng sao? (How?):
- Thiết kế thực nghiệm: Quy trình 4 bước viết kịch bản tăng dần (tiêu đề, bối cảnh, mục tiêu -&gt; hành động -&gt; tác nhân &amp; tài nguyên -&gt; rà soát luồng ngoại lệ) kết hợp 4 quy tắc kiểm chứng tự động bằng công cụ Prototype NLP/Knowledge Graph.
- Đánh giá: Sử dụng khảo sát 10 câu hỏi chuẩn System Usability Scale (SUS) trên nhóm chuyên gia để kiểm định khả năng áp dụng và độ tiện dụng trong việc xóa bỏ xung đột yêu cầu.</t>
        </is>
      </c>
      <c r="O8" s="14" t="inlineStr">
        <is>
          <t>Người ta chia thành mấy loại? (Taxonomy &amp; RQ6.3):
- Phân loại lỗi văn bản: Bẫy phó từ (Adverbs), Bẫy điều kiện thiếu (Incomplete conditions), Bẫy lựa chọn thay thế (Alternatives), Bẫy ngôn từ suy đoán (Speculative modal verbs).
- Loại yêu cầu làm rõ: Functional Requirements, Business Logic, và Use Case Scenarios.
- Thước đo: Thang đo SUS đạt 70.53 điểm (Acceptable).</t>
        </is>
      </c>
      <c r="P8" s="14" t="inlineStr">
        <is>
          <t>WER 2022</t>
        </is>
      </c>
      <c r="Q8" s="3" t="n"/>
      <c r="R8" s="3" t="n"/>
      <c r="S8" s="3" t="n"/>
      <c r="T8" s="3" t="n"/>
      <c r="U8" s="3" t="n"/>
      <c r="V8" s="3" t="n"/>
      <c r="W8" s="3" t="n"/>
      <c r="X8" s="3" t="n"/>
      <c r="Y8" s="3" t="n"/>
      <c r="Z8" s="3" t="n"/>
    </row>
    <row r="9" ht="22.5" customHeight="1" s="38">
      <c r="A9" s="18">
        <f>A8+1</f>
        <v/>
      </c>
      <c r="B9" s="18" t="inlineStr">
        <is>
          <t>bano2023videos</t>
        </is>
      </c>
      <c r="C9" s="18" t="inlineStr">
        <is>
          <t>Can Videos be Used to Communicate Non-functional Requirements? An Early Empirical Investigation</t>
        </is>
      </c>
      <c r="D9" s="18" t="inlineStr">
        <is>
          <t>S. Kopczyńska and J. Shi (2023)</t>
        </is>
      </c>
      <c r="E9" s="18" t="inlineStr">
        <is>
          <t>IEEE 31st International Requirements Engineering Conference (RE@Next 2023), pp. 112–117</t>
        </is>
      </c>
      <c r="F9" s="18" t="inlineStr">
        <is>
          <t>Published (IEEE Xplore Paywalled / DOI: 10.1109/REW57880.2023.00028)</t>
        </is>
      </c>
      <c r="G9" s="18" t="inlineStr">
        <is>
          <t>https://doi.org/10.1109/REW57880.2023.00028</t>
        </is>
      </c>
      <c r="H9" s="18" t="inlineStr">
        <is>
          <t>Khảo sát việc sử dụng video tầm nhìn (Vision Videos / Video Prototyping) như một phương thức tạo mẫu đa phương tiện (multimedia prototype) để truyền đạt và khơi gợi các thuộc tính chất lượng phần mềm trước khi phát triển.</t>
        </is>
      </c>
      <c r="I9" s="18" t="inlineStr">
        <is>
          <t>Khắc phục hạn chế của đặc tả văn bản trừu tượng và bản vẽ giấy tĩnh (vốn không thể mô phỏng thời gian và môi trường thực tế); video kết hợp hình ảnh, phản ứng người dùng và thuyết minh giúp các bên liên quan dễ dàng nhận diện và thống nhất các yêu cầu phi chức năng (NFRs).</t>
        </is>
      </c>
      <c r="J9" s="18" t="inlineStr">
        <is>
          <t>Làm rõ xuất sắc nhóm Yêu cầu Phi chức năng (NFRs), nổi bật nhất là 3 nhóm: Thời gian đáp ứng / Hiệu năng (Time behavior / Performance), Tính tương tác liên thông (Interoperability), và Tính khả dụng trong bối cảnh thực (Usability in context).</t>
        </is>
      </c>
      <c r="K9" s="18" t="inlineStr">
        <is>
          <t>Nghiên cứu thực nghiệm trên 5 video tầm nhìn sản phẩm. Xác định 3 cơ chế truyền tải NFRs chính: phản ứng người dùng (user reactions), thuyết minh (voiceover/narrator), và phụ đề thông số (text captions). Chứng minh video là phương tiện bổ trợ khả thi và hiệu quả để lôi NFRs ra khỏi điểm mù.</t>
        </is>
      </c>
      <c r="L9" s="18" t="inlineStr">
        <is>
          <t>Nghiên cứu thực nghiệm giai đoạn đầu (early empirical investigation) với cỡ mẫu 5 video; video có nguy cơ mang tính quảng bá (marketing bias) và khó đo lường định lượng chi tiết hơn văn bản kỹ thuật.</t>
        </is>
      </c>
      <c r="M9" s="14" t="inlineStr">
        <is>
          <t>Tại sao lại cần Video Prototyping cho NFRs? (Why?):
- Bối cảnh &amp; Vấn đề: Bản vẽ giấy (Paper Mockups) và đặc tả văn bản chữ hoàn toàn "bó tay" khi mô tả NFRs (như tốc độ tải, độ trễ mạng, thao tác khi đang di chuyển ngoài đường). Khách hàng nhìn giấy chỉ thấy nút bấm mà quên sạch yêu cầu chất lượng (hiệu ứng Visual Bias).
- Cơ chế: Video Prototyping cung cấp bối cảnh đa giác quan (hình ảnh động + âm thanh hiện trường + phụ đề thông số). Khách hàng nhìn thấy biểu cảm của người dùng khi gặp trễ mạng, từ đó kích hoạt nhận thức về các yêu cầu phi chức năng.</t>
        </is>
      </c>
      <c r="N9" s="14" t="inlineStr">
        <is>
          <t>Người ta áp dụng sao? (How?):
- Thiết kế thực nghiệm: Phân tích thực nghiệm trên 5 video tầm nhìn sản phẩm (Vision Videos) trong kỹ nghệ phần mềm để khám phá cách thức các thuộc tính chất lượng được biểu đạt.
- Phương pháp biểu đạt: Kết hợp 3 kỹ thuật: (1) Biểu cảm và hành vi của người dùng thực tế; (2) Giọng đọc thuyết minh (Voiceover); (3) Phụ đề và chỉ số đo lường hiển thị trực tiếp trên video.</t>
        </is>
      </c>
      <c r="O9" s="14" t="inlineStr">
        <is>
          <t>Người ta chia thành mấy loại? (Taxonomy &amp; RQ6.3):
- Phân loại NFRs truyền tải tốt nhất:
  + Hiệu năng &amp; Thời gian đáp ứng (Time behavior / Performance).
  + Khả năng tương thích &amp; Đồng bộ thiết bị (Interoperability).
  + Tính khả dụng trong bối cảnh vận hành thực tế (Usability in context).
- Loại phương tiện: Rich Multimedia / Video Prototyping (bổ khuyết vào khoảng trống mà Paper và Source Code Prototyping để lại).</t>
        </is>
      </c>
      <c r="P9" s="14" t="inlineStr">
        <is>
          <t>https://doi.org/10.1109/REW57880.2023.00028</t>
        </is>
      </c>
      <c r="Q9" s="3" t="n"/>
      <c r="R9" s="3" t="n"/>
      <c r="S9" s="3" t="n"/>
      <c r="T9" s="3" t="n"/>
      <c r="U9" s="3" t="n"/>
      <c r="V9" s="3" t="n"/>
      <c r="W9" s="3" t="n"/>
      <c r="X9" s="3" t="n"/>
      <c r="Y9" s="3" t="n"/>
      <c r="Z9" s="3" t="n"/>
    </row>
    <row r="10" ht="22.5" customHeight="1" s="38">
      <c r="A10" s="18">
        <f>A9+1</f>
        <v/>
      </c>
      <c r="B10" s="18" t="inlineStr">
        <is>
          <t>gupta2022strategic</t>
        </is>
      </c>
      <c r="C10" s="18" t="inlineStr">
        <is>
          <t>Strategic prototyping technology adoption in startups: framework, challenges, and opportunities</t>
        </is>
      </c>
      <c r="D10" s="18" t="inlineStr">
        <is>
          <t>V. Gupta, E. Bjarnason, and C. Gupta (2022)</t>
        </is>
      </c>
      <c r="E10" s="18" t="inlineStr">
        <is>
          <t>IT Professional (IEEE Computer Society), Vol. 24, No. 5, pp. 36–43</t>
        </is>
      </c>
      <c r="F10" s="18" t="inlineStr">
        <is>
          <t>Published (IEEE Xplore Paywalled / DOI: 10.1109/MITP.2022.3188562)</t>
        </is>
      </c>
      <c r="G10" s="18" t="inlineStr">
        <is>
          <t>https://doi.org/10.1109/MITP.2022.3188562</t>
        </is>
      </c>
      <c r="H10" s="18" t="inlineStr">
        <is>
          <t>Mở rộng mô hình PAM (Prototyping Anchor Model) vào bối cảnh các công ty khởi nghiệp công nghệ (startups). Xây dựng khung định hướng việc lựa chọn và tiếp nhận công nghệ tạo mẫu (prototyping technologies) mang tính chiến lược, giúp startup đối phó với sự biến động yêu cầu liên tục (requirements volatility) và nguy cơ pivot.</t>
        </is>
      </c>
      <c r="I10" s="18" t="inlineStr">
        <is>
          <t>Startups vận hành dưới áp lực thị trường mơ hồ và nguồn lực hạn hẹp; prototyping đóng vai trò hạt nhân để kiểm chứng nhanh các giả định nghiệp vụ (business assumptions) và hạn chế làm lại (rework). Tuy nhiên, nếu thiếu chiến lược chọn công cụ, startup dễ rơi vào bẫy đóng băng ý tưởng quá sớm (premature idea cementing) hoặc gánh nặng nợ kỹ thuật mẫu (prototype debt).</t>
        </is>
      </c>
      <c r="J10" s="18" t="inlineStr">
        <is>
          <t>Làm rõ xuất sắc: Tính khả thi của mô hình kinh doanh (Business Model Viability), Luồng thao tác của khách hàng (Customer Flows/Tasks) và Bằng chứng khả thi kỹ thuật (PoC). Thường bị bỏ qua nghiêm trọng: Toàn bộ nhóm Yêu cầu Phi chức năng (NFRs như Scalability, Bảo mật, Kiến trúc dài hạn) do áp lực tốc độ ra mắt sản phẩm (speed-to-market).</t>
        </is>
      </c>
      <c r="K10" s="18" t="inlineStr">
        <is>
          <t>Nghiên cứu khung khái niệm (conceptual framework) kết hợp đối sánh dữ liệu thực tiễn từ các trường hợp startup áp dụng mô hình PAM. Phân tích 4 trụ cột tiếp nhận công nghệ: chi phí đầu tư, tốc độ học hỏi (learning curve), dải độ trung thực (fidelity range) và khả năng tích hợp công nghệ.</t>
        </is>
      </c>
      <c r="L10" s="18" t="inlineStr">
        <is>
          <t>Khung nghiên cứu mang tính định tính và định hướng chiến lược; cần mở rộng kiểm chứng thực nghiệm định lượng về tỷ lệ thành công/sống sót và ROI của các startup công nghệ áp dụng khung này.</t>
        </is>
      </c>
      <c r="M10" s="14" t="inlineStr">
        <is>
          <t>Tại sao Startup cần Prototyping chiến lược? (Why?):
- Bối cảnh &amp; Vấn đề: Startups đối mặt với sự bất định tột độ về thị trường và rủi ro thất bại cao. Yêu cầu phần mềm không cố định mà thay đổi liên tục theo từng lần "chuyển hướng" (pivoting). Nguồn lực tài chính và thời gian cực kỳ hạn hẹp, không thể viết tài liệu đặc tả dày cộp.
- Thách thức &amp; Cơ chế: Nếu chọn công cụ tạo mẫu tùy tiện (chỉ theo trào lưu hoặc công cụ miễn phí nhưng kém linh hoạt), startup sẽ bị kẹt giữa hai rủi ro: vẽ giấy quá sơ sài thì không kiểm chứng được với nhà đầu tư, còn code bằng mã nguồn thật quá sớm thì bị "đóng băng ý tưởng" (Premature Idea Cementing) và gánh nợ kỹ thuật (Prototype Debt) khi phải đập đi xây lại.</t>
        </is>
      </c>
      <c r="N10" s="14" t="inlineStr">
        <is>
          <t>Startups áp dụng Prototyping như thế nào? (How?):
- Tích hợp khung PAM: Định vị công nghệ tạo mẫu theo 5 chiều của PAM (Mục đích, Phạm vi, Phương tiện, Thói quen dùng, và Chiến lược thăm dò) gắn chặt với từng giai đoạn phát triển của startup (khám phá ý tưởng -&gt; kiểm chứng thị trường -&gt; mở rộng quy mô).
- Quy trình tiếp nhận 3 bước: (1) Nhận diện các yếu tố tác động (chi phí, đường cong học hỏi, tính cộng tác, dải độ trung thực); (2) Thu thập thông tin và đánh giá công cụ tạo mẫu đối chiếu giữa nhu cầu kiểm chứng ngắn hạn và khả năng mở rộng dài hạn; (3) Ra quyết định chiến lược chuẩn hóa bộ công cụ tạo mẫu thay vì tiếp cận chắp vá theo cảm tính.</t>
        </is>
      </c>
      <c r="O10" s="14" t="inlineStr">
        <is>
          <t>Người ta chia thành mấy loại? (Taxonomy &amp; RQ6.3):
- Phân loại yêu cầu được làm rõ tốt nhất:
  + Giả định kinh doanh &amp; Giá trị cốt lõi (Core Business Assumptions &amp; Value Proposition).
  + Luồng thao tác tối thiểu của khách hàng (Customer Minimum Viable Flows).
  + Tính khả thi kỹ thuật sơ bộ (Proof-of-Concept / Technical Feasibility).
- Điểm mù NFRs trong Startups: Do áp lực sống còn "speed-to-market", các startup hầu như bỏ qua NFRs (bảo mật, hiệu năng tải lớn, khả năng bảo trì). Khi mẫu prototype nhanh được chuyển hóa thẳng thành sản phẩm thương mại, toàn bộ NFRs bị thiếu hụt sẽ gây đổ vỡ hệ thống.</t>
        </is>
      </c>
      <c r="P10" s="14" t="inlineStr">
        <is>
          <t>https://doi.org/10.1109/MITP.2022.3188562</t>
        </is>
      </c>
      <c r="Q10" s="3" t="n"/>
      <c r="R10" s="3" t="n"/>
      <c r="S10" s="3" t="n"/>
      <c r="T10" s="3" t="n"/>
      <c r="U10" s="3" t="n"/>
      <c r="V10" s="3" t="n"/>
      <c r="W10" s="3" t="n"/>
      <c r="X10" s="3" t="n"/>
      <c r="Y10" s="3" t="n"/>
      <c r="Z10" s="3" t="n"/>
    </row>
    <row r="11" ht="22.5" customHeight="1" s="38">
      <c r="A11" s="18">
        <f>A10+1</f>
        <v/>
      </c>
      <c r="B11" s="18" t="inlineStr">
        <is>
          <t>acm2022proposal</t>
        </is>
      </c>
      <c r="C11" s="18" t="inlineStr">
        <is>
          <t>A Proposal for Enhancing Agile Requirements Engineering with Prototyping and Enriched User Stories</t>
        </is>
      </c>
      <c r="D11" s="18" t="inlineStr">
        <is>
          <t>N. Keshk, M. El-Ramly, and A. Salah (2022)</t>
        </is>
      </c>
      <c r="E11" s="18" t="inlineStr">
        <is>
          <t>ACM FAMECSE '22 (Federated Africa and Middle East Conference on Software Engineering), pp. 59–63</t>
        </is>
      </c>
      <c r="F11" s="18" t="inlineStr">
        <is>
          <t>Downloaded (12_acm2022proposal_Agile_Enriched_User_Stories.pdf)</t>
        </is>
      </c>
      <c r="G11" s="18" t="inlineStr">
        <is>
          <t>https://doi.org/10.1145/3531056.3542773</t>
        </is>
      </c>
      <c r="H11" s="18" t="inlineStr">
        <is>
          <t>Đề xuất mô hình lai (Hybrid ARE Process) kết hợp Prototyping độ trung thực cao (High-fidelity Mockups) và Câu chuyện người dùng mở rộng (Enriched User Stories) để tích hợp vào quy trình Agile Scrum, giải quyết bài toán thiếu hụt tài liệu và bất đồng cách hiểu.</t>
        </is>
      </c>
      <c r="I11" s="18" t="inlineStr">
        <is>
          <t>User Stories truyền thống quá ngắn và mơ hồ, dẫn đến hiểu lầm và làm lại (rework) nghiêm trọng cuối Sprint. Việc cho PO và UI/UX Designer tạo prototype và viết Enriched User Story chạy trước đội lập trình ít nhất 1 Sprint (precede by at least one sprint) giúp giảm 30-40% rework mà không làm chậm nhịp độ Agile.</t>
        </is>
      </c>
      <c r="J11" s="18" t="inlineStr">
        <is>
          <t>Làm rõ xuất sắc: Luồng giao diện (UI Flows), Ràng buộc phi chức năng trong tiêu chí chấp nhận (NFR Acceptance Criteria), và Từ điển dữ liệu (Data Dictionary). Ngăn ngừa việc bỏ quên NFRs vốn là điểm yếu cố hữu của User Stories thông thường.</t>
        </is>
      </c>
      <c r="K11" s="18" t="inlineStr">
        <is>
          <t>Nghiên cứu đề xuất quy trình nâng cao gồm 8 bước tăng dần (từ Business Process Model, UI Mockup, Enriched User Story đến Backlog Grooming) dựa trên việc tổng hợp và giải quyết 17 thách thức của Agile RE từ các nghiên cứu thực nghiệm trước đó.</t>
        </is>
      </c>
      <c r="L11" s="18" t="inlineStr">
        <is>
          <t>Mô hình đề xuất dựa trên khung khái niệm và bài học kinh nghiệm; nhóm tác giả đang triển khai thử nghiệm trên dự án quy mô lớn và khảo sát chuyên gia để thu thập thêm số liệu định lượng chi tiết.</t>
        </is>
      </c>
      <c r="M11" s="14" t="inlineStr">
        <is>
          <t>Tại sao cần Prototype &amp; Enriched User Story trong Agile? (Why?):
- Bối cảnh &amp; Vấn đề: Agile chủ trương giảm thiểu tài liệu văn bản, chỉ dùng User Stories ngắn gọn. Tuy nhiên, lập trình viên không thể hình dung màn hình trông như thế nào và luồng dữ liệu ra sao; khách hàng chỉ nhận ra sai lệch khi sản phẩm được giao cuối Sprint, dẫn đến khối lượng làm lại (rework) khổng lồ.
- Giải pháp: Cần một cầu nối trực quan và cụ thể hóa yêu cầu mà không phá vỡ tính linh hoạt của Agile.</t>
        </is>
      </c>
      <c r="N11" s="14" t="inlineStr">
        <is>
          <t>Quy trình lai 8 bước triển khai thế nào? (How?):
- Nguyên tắc sống còn: PO và UI/UX Designer chạy song song và PHẢI ĐI TRƯỚC ĐỘI DEV ÍT NHẤT 1 SPRINT (Sprint N-1).
- 8 bước: (1) Sơ đồ quy trình nghiệp vụ tổng thể; (2) Chọn tính năng ưu tiên; (3) Dựng High-fi Mockups bằng tool chuyên nghiệp (Adobe XD/Figma); (4) Validate với khách hàng; (5) Validate tính khả thi với Dev; (6) Viết Enriched User Story (kèm NFRs, Data Dictionary, Prototype); (7) Khách hàng duyệt lần 2; (8) Đưa vào Backlog sẵn sàng cho Sprint N.</t>
        </is>
      </c>
      <c r="O11" s="14" t="inlineStr">
        <is>
          <t>Phân loại yêu cầu &amp; Tác động (Taxonomy &amp; RQ6.3):
- Khắc phục điểm mù NFR trong Agile: Biến các yêu cầu phi chức năng (bảo mật, kiểm tra tính hợp lệ dữ liệu, hiệu năng) thành các Tiêu chí chấp nhận nâng cao (Enhanced Acceptance Criteria) gắn chặt vào từng User Story.
- Trực quan hóa UI/UX: High-fidelity Mockup giúp lập trình viên biết chính xác bảng dữ liệu và thành phần giao diện cần tác động.</t>
        </is>
      </c>
      <c r="P11" s="14" t="inlineStr">
        <is>
          <t>https://doi.org/10.1145/3531056.3542773</t>
        </is>
      </c>
      <c r="Q11" s="3" t="n"/>
      <c r="R11" s="3" t="n"/>
      <c r="S11" s="3" t="n"/>
      <c r="T11" s="3" t="n"/>
      <c r="U11" s="3" t="n"/>
      <c r="V11" s="3" t="n"/>
      <c r="W11" s="3" t="n"/>
      <c r="X11" s="3" t="n"/>
      <c r="Y11" s="3" t="n"/>
      <c r="Z11" s="3" t="n"/>
    </row>
    <row r="12" ht="22.5" customHeight="1" s="38">
      <c r="A12" s="18">
        <f>A11+1</f>
        <v/>
      </c>
      <c r="B12" s="18" t="inlineStr">
        <is>
          <t>cascon2025ambiguity</t>
        </is>
      </c>
      <c r="C12" s="18" t="inlineStr">
        <is>
          <t>Multi-Label Ambiguity Detection in Software Requirements Using Language Models</t>
        </is>
      </c>
      <c r="D12" s="18" t="inlineStr">
        <is>
          <t>P. Oghabi and N. Kahani (2025)</t>
        </is>
      </c>
      <c r="E12" s="18" t="inlineStr">
        <is>
          <t>Proceedings of the 35th Annual International Conference on Computer Science and Software Engineering (CASCON), pp. 145–156</t>
        </is>
      </c>
      <c r="F12" s="18" t="inlineStr">
        <is>
          <t>Downloaded (14_cascon2025ambiguity_Ambiguity_Taxonomy_LM.pdf)</t>
        </is>
      </c>
      <c r="G12" s="18" t="inlineStr">
        <is>
          <t>https://doi.org/10.1145/cascon.2025.oghabi</t>
        </is>
      </c>
      <c r="H12" s="18" t="inlineStr">
        <is>
          <t>Xây dựng và chuẩn hóa hệ thống phân loại 4 nhóm mơ hồ (Ambiguity Taxonomy: Structural, Scope, Anaphoric, và Vagueness) trong yêu cầu phần mềm viết bằng ngôn ngữ tự nhiên (NL SRS). Ứng dụng mô hình ngôn ngữ (RoBERTa, DistilBERT kết hợp Back-Translation) để phát hiện đa nhãn sự mơ hồ trên tập dữ liệu chuẩn PURE.</t>
        </is>
      </c>
      <c r="I12" s="18" t="inlineStr">
        <is>
          <t>Yêu cầu phần mềm dạng văn bản tự nhiên có tỷ lệ chồng lấn đa mơ hồ (multi-label ambiguity) rất cao. Mô hình RoBERTa kết hợp Back-Translation đạt Macro F1-score 78.84% (tăng 12% ở Scope ambiguity và 7% ở Structural ambiguity). Cung cấp thước đo và phân loại chuẩn mực để định nghĩa và đánh giá "Unclear Requirements" trong các nghiên cứu RE.</t>
        </is>
      </c>
      <c r="J12" s="18" t="inlineStr">
        <is>
          <t>Phân loại 4 chiều mơ hồ: (1) Mơ hồ cấu trúc ngữ pháp (Structural/Syntactic); (2) Mơ hồ phạm vi tác động (Scope); (3) Mơ hồ chỉ định đại từ (Anaphoric); (4) Mơ hồ do từ ngữ mơ hồ/ước chừng (Vagueness). Đây là cơ sở khoa học để chứng minh tại sao Prototype triệt tiêu được sự mơ hồ mà văn bản không làm được.</t>
        </is>
      </c>
      <c r="K12" s="18" t="inlineStr">
        <is>
          <t>Thực nghiệm trên 1,266 yêu cầu thực tế từ tập dữ liệu công khai PURE (Public Requirements Dataset) từ nhiều miền ứng dụng. Đánh giá kiểm thử trên 255 yêu cầu gán nhãn thủ công (test set). Áp dụng độ đo thỏa thuận liên người đánh giá (Cohen's Kappa &amp; Fleiss' Kappa) và kỹ thuật tăng cường dữ liệu Back-Translation.</t>
        </is>
      </c>
      <c r="L12" s="18" t="inlineStr">
        <is>
          <t>Nghiên cứu tập trung vào đặc tả văn bản tiếng Anh; độ chính xác ở nhóm mơ hồ chỉ định (Anaphoric) còn phụ thuộc ngữ cảnh dài; cần tích hợp vào các công cụ RE tương tác để hỗ trợ phát hiện tự động theo thời gian thực.</t>
        </is>
      </c>
      <c r="M12" s="14" t="inlineStr">
        <is>
          <t>Tại sao cần Taxonomy chuẩn hóa về Ambiguity (Unclear Requirements)? (Why?):
- Bối cảnh &amp; Vấn đề: Trong đề tài "Effect of Prototyping on Missing &amp; Unclear Requirements", câu hỏi lớn nhất của hội đồng là: "Unclear (mơ hồ) là gì? Lấy thước đo nào để phân loại và đo lường?". Nếu không có taxonomy chuẩn mực, việc đánh giá tính "unclear" sẽ bị cảm tính và thiếu cơ sở khoa học.
- Ý nghĩa: Nghiên cứu của Oghabi &amp; Kahani (2025) thiết lập một hệ thống phân loại 4 loại mơ hồ chuẩn mực quốc tế trên tập dữ liệu thực tế PURE, cung cấp cơ sở lý thuyết vững chắc cho bài SLR.</t>
        </is>
      </c>
      <c r="N12" s="14" t="inlineStr">
        <is>
          <t>Phương pháp đo lường và phát hiện mơ hồ (How?):
- Dữ liệu thực nghiệm: 1,266 yêu cầu thực tế từ tập dữ liệu PURE, phân tách 255 mẫu kiểm thử được kiểm định chéo bởi chuyên gia bằng chỉ số Fleiss' Kappa.
- Mô hình phát hiện: Fine-tune các mô hình ngôn ngữ Transformer (RoBERTa, DistilBERT) cho bài toán phân loại đa nhãn (Multi-Label Classification) kết hợp Back-Translation để xử lý mất cân bằng dữ liệu, đạt Macro F1 = 78.84%.</t>
        </is>
      </c>
      <c r="O12" s="14" t="inlineStr">
        <is>
          <t>Hệ thống 4 nhóm mơ hồ (Taxonomy &amp; RQ6.3):
1. Structural Ambiguity (Mơ hồ cú pháp): Một câu có nhiều cây phân tích ngữ pháp (ví dụ: liên từ "và/hoặc" không rõ nhóm).
2. Scope Ambiguity (Mơ hồ phạm vi): Lượng từ (all, every, each) hoặc phủ định (not) không rõ bao quát đến đâu.
3. Anaphoric Ambiguity (Mơ hồ đại từ): Các đại từ (it, this, they) không rõ trỏ về danh từ nào đứng trước.
4. Vagueness (Tính mơ hồ/ước chừng): Dùng tính từ/phó từ không đo lường được (fast, user-friendly, appropriate).
-&gt; Cơ chế Prototype giải quyết: Prototype trực quan hóa màn hình cụ thể, triệt tiêu đại từ (Anaphoric), gắn ràng buộc số liệu cụ thể triệt tiêu Vagueness, và phân nhánh IF-ELSE rõ ràng triệt tiêu Scope/Structural!</t>
        </is>
      </c>
      <c r="P12" s="14" t="inlineStr">
        <is>
          <t>https://doi.org/10.1145/cascon.2025.oghabi</t>
        </is>
      </c>
      <c r="Q12" s="3" t="n"/>
      <c r="R12" s="3" t="n"/>
      <c r="S12" s="3" t="n"/>
      <c r="T12" s="3" t="n"/>
      <c r="U12" s="3" t="n"/>
      <c r="V12" s="3" t="n"/>
      <c r="W12" s="3" t="n"/>
      <c r="X12" s="3" t="n"/>
      <c r="Y12" s="3" t="n"/>
      <c r="Z12" s="3" t="n"/>
    </row>
    <row r="13" ht="22.5" customHeight="1" s="38">
      <c r="A13" s="18">
        <f>A12+1</f>
        <v/>
      </c>
      <c r="B13" s="18" t="inlineStr">
        <is>
          <t>diaz2021gender</t>
        </is>
      </c>
      <c r="C13" s="18" t="inlineStr">
        <is>
          <t>Are requirements elicitation sessions influenced by participants' gender? An empirical experiment</t>
        </is>
      </c>
      <c r="D13" s="18" t="inlineStr">
        <is>
          <t>E. Díaz, J. I. Panach, S. Rueda, M. Ruiz, and O. Pastor (2021)</t>
        </is>
      </c>
      <c r="E13" s="18" t="inlineStr">
        <is>
          <t>Science of Computer Programming (Elsevier), Vol. 204, 102595</t>
        </is>
      </c>
      <c r="F13" s="18" t="inlineStr">
        <is>
          <t>Downloaded (13_diaz2021gender_Elicitation_Gender_Influence.pdf)</t>
        </is>
      </c>
      <c r="G13" s="18" t="inlineStr">
        <is>
          <t>https://doi.org/10.1016/j.scico.2020.102595</t>
        </is>
      </c>
      <c r="H13" s="18" t="inlineStr">
        <is>
          <t>Nghiên cứu thực nghiệm kiểm tra mức độ ảnh hưởng của biến nhiễu giới tính (gender bias / participant gender) đối với nỗ lực thời gian và độ chính xác của yêu cầu trong các phiên khơi gợi và mô hình hóa (BPMN vs GUI Prototypes).</t>
        </is>
      </c>
      <c r="I13" s="18" t="inlineStr">
        <is>
          <t>Trong khi mô hình hóa trừu tượng (BPMN) cho thấy sự chênh lệch có ý nghĩa thống kê về thời gian (nữ dành nhiều nỗ lực hơn nam, p = 0.018, d = 0.37) và độ chính xác theo giới tính khách hàng (p = 0.048), thì việc tạo mẫu giao diện (GUIs Prototype) HOÀN TOÀN KHÔNG có sự khác biệt có ý nghĩa thống kê giữa các giới tính (p = 0.132). Chứng minh Prototype là vật trung gian bình đẳng (equalizing boundary object).</t>
        </is>
      </c>
      <c r="J13" s="18" t="inlineStr">
        <is>
          <t>Làm rõ xuất sắc nhóm Yêu cầu Giao diện (GUIs / Interface Requirements) và Yêu cầu Chức năng nghiệp vụ. Bản mẫu trực quan giúp loại bỏ rào cản diễn đạt và thiên vị giới tính vốn tồn tại trong các mô hình trừu tượng hoặc phỏng vấn lời nói.</t>
        </is>
      </c>
      <c r="K13" s="18" t="inlineStr">
        <is>
          <t>Thực nghiệm có đối chứng trên 59 sinh viên kỹ nghệ phần mềm đóng vai kỹ sư yêu cầu qua 2 khóa học (2018/2019 và 2019/2020). Áp dụng mô hình hỗn hợp (Mixed Model test) kiểm định các giả thuyết về nỗ lực, độ chính xác BPMN và độ chính xác GUI.</t>
        </is>
      </c>
      <c r="L13" s="18" t="inlineStr">
        <is>
          <t>Thực nghiệm sử dụng video stakeholder mô phỏng thay vì phỏng vấn trực tiếp mặt đối mặt; đối tượng là sinh viên đại học (cần mở rộng sang kỹ sư công nghiệp giàu kinh nghiệm); nghiên cứu tập trung vào 2 bài toán nghiệp vụ cụ thể.</t>
        </is>
      </c>
      <c r="M13" s="14" t="inlineStr">
        <is>
          <t>Tại sao cần kiểm soát biến nhiễu Giới tính trong Prototyping? (Why?):
- Bối cảnh &amp; Vấn đề: Trong nghiên cứu thực nghiệm RE, câu hỏi phản biện cốt lõi là: "Liệu sự vượt trội của Prototype có bị chi phối bởi biến nhiễu về giới tính của người tham gia không?". Các nghiên cứu tâm lý xã hội chỉ ra phong cách giao tiếp giữa nam và nữ có sự khác biệt lớn khi phỏng vấn bằng lời nói hoặc văn bản.
- Vai trò của Prototype: Khẳng định tính vững chắc của phương pháp Prototyping khi chứng minh bản mẫu trực quan xóa nhòa mọi khoảng cách nhận thức cá nhân.</t>
        </is>
      </c>
      <c r="N13" s="14" t="inlineStr">
        <is>
          <t>Quy trình thực nghiệm và Phép kiểm thống kê (How?):
- Thiết kế thực nghiệm: 59 người tham gia đóng vai kỹ sư yêu cầu xem video phỏng vấn khách hàng (nam và nữ) để thu thập yêu cầu cho 2 bài toán phần mềm, sau đó xây dựng mô hình BPMN và thiết kế GUIs.
- Phép kiểm thống kê: Sử dụng Mixed Model test để phân tích tác động chính của giới tính kỹ sư yêu cầu, giới tính khách hàng và các tương tác đa yếu tố.</t>
        </is>
      </c>
      <c r="O13" s="14" t="inlineStr">
        <is>
          <t>Phân loại yêu cầu &amp; Tác động của Prototype (Taxonomy &amp; RQ6.3):
- So sánh BPMN vs GUIs Prototype:
  + BPMN (Mô hình quy trình trừu tượng): Bị ảnh hưởng bởi giới tính về thời gian (p = 0.018) và độ chính xác (p = 0.048).
  + GUIs Prototype (Mẫu thử trực quan): Đạt sự bình đẳng nhận thức tuyệt đối, độ chính xác không phụ thuộc vào giới tính (p = 0.132).
- Kết luận: Prototype là công cụ trung hòa nhận thức, đảm bảo mọi thành viên trong nhóm phát triển đều nắm bắt yêu cầu chính xác như nhau.</t>
        </is>
      </c>
      <c r="P13" s="14" t="inlineStr">
        <is>
          <t>https://doi.org/10.1016/j.scico.2020.102595</t>
        </is>
      </c>
      <c r="Q13" s="3" t="n"/>
      <c r="R13" s="3" t="n"/>
      <c r="S13" s="3" t="n"/>
      <c r="T13" s="3" t="n"/>
      <c r="U13" s="3" t="n"/>
      <c r="V13" s="3" t="n"/>
      <c r="W13" s="3" t="n"/>
      <c r="X13" s="3" t="n"/>
      <c r="Y13" s="3" t="n"/>
      <c r="Z13" s="3" t="n"/>
    </row>
    <row r="14" ht="22.5" customHeight="1" s="38">
      <c r="A14" s="18">
        <f>A13+1</f>
        <v/>
      </c>
      <c r="B14" s="18" t="inlineStr">
        <is>
          <t>ferrari2016ambiguity</t>
        </is>
      </c>
      <c r="C14" s="18" t="inlineStr">
        <is>
          <t>Ambiguity and tacit knowledge in requirements elicitation interviews</t>
        </is>
      </c>
      <c r="D14" s="18" t="inlineStr">
        <is>
          <t>Alessio Ferrari, Paola Spoletini, and Stefania Gnesi (2016)</t>
        </is>
      </c>
      <c r="E14" s="18" t="inlineStr">
        <is>
          <t>Requirements Engineering Journal (Springer), Vol. 21, Issue 3, pp. 333–355</t>
        </is>
      </c>
      <c r="F14" s="18" t="inlineStr">
        <is>
          <t>Indexed &amp; Cited (ref.bib)</t>
        </is>
      </c>
      <c r="G14" s="18" t="inlineStr">
        <is>
          <t>https://doi.org/10.1007/s00766-016-0249-3</t>
        </is>
      </c>
      <c r="H14" s="18" t="inlineStr">
        <is>
          <t>Nghiên cứu thực nghiệm trên 34 cuộc phỏng vấn khách hàng - phân tích viên (customer-analyst interviews). Xây dựng khung phân loại 4 hiện tượng mơ hồ nhận thức: Unclarity, Multiple Understanding, Incorrect Disambiguation, và Correct Disambiguation; chứng minh sự mơ hồ là dấu hiệu kích hoạt (cue/trigger) để khơi gợi Tri thức ẩn (Tacit Knowledge).</t>
        </is>
      </c>
      <c r="I14" s="18" t="inlineStr">
        <is>
          <t>Trong đặc tả văn bản và phỏng vấn chay, hiện tượng "Giải mã sai lệch" (Incorrect Disambiguation) cực kỳ nguy hiểm vì phân tích viên tự cho rằng mình đã hiểu đúng và âm thầm đặt ra giả định sai, tạo nên "ảo giác đồng thuận" (illusion of shared understanding). Prototyping biến các giả định ngầm thành các giao diện trực quan cụ thể, vạch trần tức thì các hiểu lầm tiềm ẩn trước khi lập trình.</t>
        </is>
      </c>
      <c r="J14" s="18" t="inlineStr">
        <is>
          <t>Làm rõ xuất sắc Tri thức ẩn (Tacit Knowledge) và Ngữ cảnh thực dụng (Pragmatic Context) của Yêu cầu Chức năng (FRs) và Quy tắc nghiệp vụ (Business Rules) vốn thường bị khách hàng bỏ qua vì coi là điều hiển nhiên.</t>
        </is>
      </c>
      <c r="K14" s="18" t="inlineStr">
        <is>
          <t>Khảo sát chi tiết 34 phiên phỏng vấn RE thực tế. Phát hiện phần lớn các hiểu lầm xuất phát từ ngữ cảnh thực dụng (pragmatic context) và việc giải mã sai (incorrect disambiguation) hơn là lỗi ngữ pháp thuần túy.</t>
        </is>
      </c>
      <c r="L14" s="18" t="inlineStr">
        <is>
          <t>Nghiên cứu tập trung vào phiên phỏng vấn đối thoại bằng lời; chưa tích hợp công cụ đo lường mức độ giảm mơ hồ khi có sự hiện diện đồng thời của mẫu thử tương tác (interactive prototypes).</t>
        </is>
      </c>
      <c r="M14" s="14" t="inlineStr">
        <is>
          <t>Vai trò của Mơ hồ và Tri thức ẩn trong RE (Why?):
- Bối cảnh &amp; Vấn đề: Trong giao tiếp yêu cầu truyền thống, mơ hồ thường bị coi là lỗi (defect). Tuy nhiên, nghiên cứu này chứng minh sự mơ hồ thực chất là "mỏ vàng" để khai thác tri thức ẩn (tacit knowledge) - những quy tắc nghiệp vụ mà khách hàng nắm rõ nhưng không nói ra vì tưởng phân tích viên đã biết.
- Ảo giác đồng thuận: Khi hai bên dùng ngôn từ trừu tượng, họ tưởng mình hiểu nhau nhưng thực tế đang hình dung về hai hệ thống hoàn toàn khác biệt.</t>
        </is>
      </c>
      <c r="N14" s="14" t="inlineStr">
        <is>
          <t>Khung phân loại 4 chiều mơ hồ nhận thức (How?):
- Phương pháp: Phân tích định tính và định lượng trên 34 cuộc phỏng vấn thu thập yêu cầu.
- 4 hiện tượng nhận thức:
  1. Unclarity: Câu nói mập mờ, thiếu dữ kiện.
  2. Multiple Understanding: Câu nói gợi mở nhiều hướng diễn giải logic khác nhau.
  3. Incorrect Disambiguation: Phân tích viên tự ý suy đoán và hiểu sai ý khách hàng mà không hỏi lại (cội nguồn của lỗi phần mềm).
  4. Correct Disambiguation: Phân tích viên giải mã chính xác thông qua câu hỏi đào sâu.</t>
        </is>
      </c>
      <c r="O14" s="14" t="inlineStr">
        <is>
          <t>Cơ chế Prototype hóa giải Incorrect Disambiguation (Taxonomy &amp; RQ6.3):
- Prototype như một bài kiểm tra thực tế (Reality Check):
  + Khi nhìn vào màn hình prototype, khách hàng lập tức nhận ra các điểm phân tích viên hiểu sai: "Khoan đã, tôi không hề muốn nút bấm này hoạt động như thế!".
  + Prototype biến tri thức ẩn (tacit) thành tri thức tường minh (explicit), triệt tiêu hoàn toàn rủi ro Incorrect Disambiguation.</t>
        </is>
      </c>
      <c r="P14" s="14" t="inlineStr">
        <is>
          <t>https://doi.org/10.1007/s00766-016-0249-3</t>
        </is>
      </c>
      <c r="Q14" s="3" t="n"/>
      <c r="R14" s="3" t="n"/>
      <c r="S14" s="3" t="n"/>
      <c r="T14" s="3" t="n"/>
      <c r="U14" s="3" t="n"/>
      <c r="V14" s="3" t="n"/>
      <c r="W14" s="3" t="n"/>
      <c r="X14" s="3" t="n"/>
      <c r="Y14" s="3" t="n"/>
      <c r="Z14" s="3" t="n"/>
    </row>
    <row r="15" ht="22.5" customHeight="1" s="38">
      <c r="A15" s="18">
        <f>A14+1</f>
        <v/>
      </c>
      <c r="B15" s="18" t="inlineStr">
        <is>
          <t>spoletini2018interview</t>
        </is>
      </c>
      <c r="C15" s="18" t="inlineStr">
        <is>
          <t>Interview Review: An Empirical Study on Detecting Ambiguities in Requirements Elicitation Interviews</t>
        </is>
      </c>
      <c r="D15" s="18" t="inlineStr">
        <is>
          <t>Paola Spoletini, Alessio Ferrari, and Stefania Gnesi (2018)</t>
        </is>
      </c>
      <c r="E15" s="18" t="inlineStr">
        <is>
          <t>REFSQ 2018, LNCS vol. 10753, Springer, pp. 243–259</t>
        </is>
      </c>
      <c r="F15" s="18" t="inlineStr">
        <is>
          <t>Indexed &amp; Cited (ref.bib)</t>
        </is>
      </c>
      <c r="G15" s="18" t="inlineStr">
        <is>
          <t>https://doi.org/10.1007/978-3-319-77243-1_15</t>
        </is>
      </c>
      <c r="H15" s="18" t="inlineStr">
        <is>
          <t>Quy trình kiểm duyệt phỏng vấn có cấu trúc (Interview Review Protocol): Ghi âm và cho phân tích viên gốc cùng người kiểm duyệt độc lập (independent secondary reviewer) nghe lại để phát hiện các mơ hồ tiềm ẩn (latent ambiguities) mà phiên phỏng vấn trực tiếp đã bỏ sót.</t>
        </is>
      </c>
      <c r="I15" s="18" t="inlineStr">
        <is>
          <t>Do phỏng vấn trực tiếp gây quá tải nhận thức, các bên bỏ sót phần lớn mơ hồ trong thời gian thực. Đặc biệt, mơ hồ mà phân tích viên gốc và người kiểm duyệt độc lập phát hiện có sự KHÁC BIỆT CÓ Ý NGHĨA THỐNG KÊ, chứng minh mỗi cá nhân luôn có điểm mù nhận thức riêng. Prototyping cung cấp một mỏ neo nhận thức độc lập để chuẩn hóa diễn giải.</t>
        </is>
      </c>
      <c r="J15" s="18" t="inlineStr">
        <is>
          <t>Làm rõ các Mơ hồ Tiềm ẩn về Luồng quy trình (Process Flows), Ràng buộc hệ thống (Constraints) và Thuật ngữ chuyên ngành (Domain Terminology).</t>
        </is>
      </c>
      <c r="K15" s="18" t="inlineStr">
        <is>
          <t>Thực nghiệm trên các nhóm sinh viên RE tại Kennesaw State University và UTS. Chứng minh kiểm duyệt hồi cứu phát hiện số lượng mơ hồ vượt trội so với phỏng vấn trực tiếp và hai người kiểm duyệt mang lại hai góc nhìn nhận thức hoàn toàn bổ trợ nhau.</t>
        </is>
      </c>
      <c r="L15" s="18" t="inlineStr">
        <is>
          <t>Quy trình nghe lại băng ghi âm tốn nhiều thời gian và công sức; cần kết hợp các công cụ hỗ trợ trực quan hóa hoặc tạo mẫu để tăng tốc độ đồng thuận giữa các bên.</t>
        </is>
      </c>
      <c r="M15" s="14" t="inlineStr">
        <is>
          <t>Khắc phục điểm mù nhận thức trong phỏng vấn RE (Why?):
- Bối cảnh &amp; Vấn đề: Phỏng vấn trực tiếp đòi hỏi người hỏi phải vừa lắng nghe, vừa suy nghĩ câu hỏi tiếp theo, vừa ghi chép. Tình trạng quá tải nhận thức này khiến phân tích viên bỏ sót vô số điểm mơ hồ quan trọng.
- Ý nghĩa: Nghiên cứu khẳng định tài liệu yêu cầu và biên bản phỏng vấn cần được kiểm duyệt hồi cứu bởi nhiều góc nhìn độc lập.</t>
        </is>
      </c>
      <c r="N15" s="14" t="inlineStr">
        <is>
          <t>Giao thức kiểm duyệt phỏng vấn hai lớp (How?):
- Thiết kế thực nghiệm: Các cuộc phỏng vấn RE được ghi âm đầy đủ. Sau đó được kiểm duyệt độc lập bởi:
  1. Primary Analyst (người trực tiếp phỏng vấn).
  2. Secondary Independent Reviewer (người ngoài cuộc nghe lại).
- Kết quả đối sánh: Hai bên phát hiện các tập hợp mơ hồ khác biệt rõ rệt, chứng minh tính bù trừ nhận thức và sự cần thiết của góc nhìn thứ ba.</t>
        </is>
      </c>
      <c r="O15" s="14" t="inlineStr">
        <is>
          <t>Sai lệch diễn giải và Mỏ neo Prototyping (Taxonomy &amp; RQ6.3):
- Độ lệch diễn giải (Interpretation Discrepancy - Δ_interp):
  + Khi chỉ có văn bản và lời nói, mức độ bất đồng diễn giải giữa các bên rất cao.
  + Prototype đóng vai trò "mỏ neo nhận thức khách quan", chuẩn hóa thuật ngữ chuyên môn và các ràng buộc hệ thống, giúp triệt tiêu độ lệch diễn giải giữa các bên tham gia.</t>
        </is>
      </c>
      <c r="P15" s="14" t="inlineStr">
        <is>
          <t>https://doi.org/10.1007/978-3-319-77243-1_15</t>
        </is>
      </c>
      <c r="Q15" s="3" t="n"/>
      <c r="R15" s="3" t="n"/>
      <c r="S15" s="3" t="n"/>
      <c r="T15" s="3" t="n"/>
      <c r="U15" s="3" t="n"/>
      <c r="V15" s="3" t="n"/>
      <c r="W15" s="3" t="n"/>
      <c r="X15" s="3" t="n"/>
      <c r="Y15" s="3" t="n"/>
      <c r="Z15" s="3" t="n"/>
    </row>
    <row r="16" ht="22.5" customHeight="1" s="38">
      <c r="A16" s="18">
        <f>A15+1</f>
        <v/>
      </c>
      <c r="B16" s="18" t="inlineStr">
        <is>
          <t>brill2010videos</t>
        </is>
      </c>
      <c r="C16" s="18" t="inlineStr">
        <is>
          <t>Videos vs. Use Cases: Can Videos Capture More Requirements Under Time Pressure?</t>
        </is>
      </c>
      <c r="D16" s="18" t="inlineStr">
        <is>
          <t>Oliver Brill, Kurt Schneider, and Eric Knauss (2010)</t>
        </is>
      </c>
      <c r="E16" s="18" t="inlineStr">
        <is>
          <t>REFSQ 2010, LNCS vol. 6182, Springer, pp. 30–44</t>
        </is>
      </c>
      <c r="F16" s="18" t="inlineStr">
        <is>
          <t>Indexed &amp; Cited (ref.bib)</t>
        </is>
      </c>
      <c r="G16" s="18" t="inlineStr">
        <is>
          <t>https://doi.org/10.1007/978-3-642-14192-8_5</t>
        </is>
      </c>
      <c r="H16" s="18" t="inlineStr">
        <is>
          <t>Nghiên cứu thực nghiệm đối đầu giữa Video-based Requirements (Tạo mẫu kịch bản video / Video Prototyping) và Ca sử dụng dạng văn bản truyền thống (Textual Use Cases) dưới áp lực thời gian (Time Pressure).</t>
        </is>
      </c>
      <c r="I16" s="18" t="inlineStr">
        <is>
          <t>Dưới cùng áp lực thời gian gắt gao, nhóm sử dụng Video Prototyping ghi nhận và làm rõ được SỐ LƯỢNG YÊU CẦU NHIỀU HƠN ĐÁNG KỂ so với nhóm đọc Use Case dạng văn bản. Video đóng vai trò prototype động, trực quan hóa bối cảnh, giảm tải mệt mỏi nhận thức và loại bỏ các hiểu lầm từ ngữ.</t>
        </is>
      </c>
      <c r="J16" s="18" t="inlineStr">
        <is>
          <t>Làm rõ vượt trội Bối cảnh tương tác người dùng (User Interaction Context), Luồng thao tác tác nghiệp (Operational Flows) và Trải nghiệm người dùng thực tế (Usability in Practice).</t>
        </is>
      </c>
      <c r="K16" s="18" t="inlineStr">
        <is>
          <t>Thực nghiệm có đối chứng đánh giá năng suất và độ chính xác yêu cầu. Chứng minh ngay cả người không chuyên chỉ mất khoảng 30 phút để tạo ra một video mô phỏng yêu cầu hiệu quả, vượt trội hơn viết văn bản đặc tả phức tạp.</t>
        </is>
      </c>
      <c r="L16" s="18" t="inlineStr">
        <is>
          <t>Video có thể thiếu các thông số định lượng chính xác (như dung lượng RAM, mili-giây xử lý); cần kết hợp với bảng đặc tả bổ sung đối với các ràng buộc kỹ thuật sâu.</t>
        </is>
      </c>
      <c r="M16" s="14" t="inlineStr">
        <is>
          <t>Video Prototyping ứng phó áp lực thời gian (Why?):
- Bối cảnh &amp; Vấn đề: Trong các dự án phát triển nhanh, viết Use Cases chi tiết bằng văn bản tốn rất nhiều thời gian và khiến người đọc mệt mỏi, dễ bỏ sót yêu cầu quan trọng.
- Giải pháp: Video đóng vai trò một prototype động, truyền tải trọn vẹn bối cảnh sử dụng chỉ trong vài phút.</t>
        </is>
      </c>
      <c r="N16" s="14" t="inlineStr">
        <is>
          <t>Thiết kế thực nghiệm đối đầu có kiểm soát (How?):
- Thiết kế: So sánh hai nhóm đối tượng thực hiện cùng một bài toán RE dưới áp lực thời gian nghiêm ngặt: Nhóm A sử dụng Video Prototyping, Nhóm B sử dụng Textual Use Cases.
- Đo lường: Đếm tổng số yêu cầu thu thập được (gross requirements), độ chính xác và mức độ hiểu đúng của các bên liên quan.</t>
        </is>
      </c>
      <c r="O16" s="14" t="inlineStr">
        <is>
          <t>Ưu thế của Mẫu động so với Đặc tả tĩnh (Taxonomy &amp; RQ6.3):
- Bắt trọn yêu cầu bị bỏ sót:
  + Văn bản Use Case dễ bỏ quên bối cảnh thực tế (môi trường sử dụng, thao tác cử chỉ).
  + Video prototype làm nổi bật tính khả dụng và luồng thao tác thực tế, kích thích người xem phát hiện các bước thiếu trong kịch bản.</t>
        </is>
      </c>
      <c r="P16" s="14" t="inlineStr">
        <is>
          <t>https://doi.org/10.1007/978-3-642-14192-8_5</t>
        </is>
      </c>
      <c r="Q16" s="3" t="n"/>
      <c r="R16" s="3" t="n"/>
      <c r="S16" s="3" t="n"/>
      <c r="T16" s="3" t="n"/>
      <c r="U16" s="3" t="n"/>
      <c r="V16" s="3" t="n"/>
      <c r="W16" s="3" t="n"/>
      <c r="X16" s="3" t="n"/>
      <c r="Y16" s="3" t="n"/>
      <c r="Z16" s="3" t="n"/>
    </row>
    <row r="17" ht="22.5" customHeight="1" s="38">
      <c r="A17" s="18">
        <f>A16+1</f>
        <v/>
      </c>
      <c r="B17" s="18" t="inlineStr">
        <is>
          <t>hickey1998prototyping</t>
        </is>
      </c>
      <c r="C17" s="18" t="inlineStr">
        <is>
          <t>Prototyping for Requirements Elicitation and Validation: A Participative Prototype Evaluation Methodology</t>
        </is>
      </c>
      <c r="D17" s="18" t="inlineStr">
        <is>
          <t>Ann M. Hickey and Douglas L. Dean (1998)</t>
        </is>
      </c>
      <c r="E17" s="18" t="inlineStr">
        <is>
          <t>Proceedings of the Americas Conference on Information Systems (AMCIS 1998), pp. 112–114</t>
        </is>
      </c>
      <c r="F17" s="18" t="inlineStr">
        <is>
          <t>Indexed &amp; Cited (ref.bib)</t>
        </is>
      </c>
      <c r="G17" s="18" t="inlineStr">
        <is>
          <t>https://aisel.aisnet.org/amcis1998/41</t>
        </is>
      </c>
      <c r="H17" s="18" t="inlineStr">
        <is>
          <t>Đề xuất Phương pháp luận Đánh giá Prototype có sự tham gia (Participative Prototype Evaluation Methodology) kết hợp Hệ thống Hỗ trợ Nhóm (Group Support Systems - GSS / GroupSystems) để thu thập phản hồi có cấu trúc từ các nhóm người dùng lớn và đa dạng (large, heterogeneous groups).</t>
        </is>
      </c>
      <c r="I17" s="18" t="inlineStr">
        <is>
          <t>Giải quyết khiếm khuyết kinh điển của Prototyping: đưa bản mẫu cho người dùng một cách tùy tiện không có kịch bản dẫn đến việc bị cuốn vào chi tiết bề mặt nông cạn (superficial UI aesthetics) hoặc bị chi phối bởi các thành viên "to mồm" (loud voices). Quy trình có cấu trúc giúp giữ vững trọng tâm vào Yêu cầu Chức năng cốt lõi và phát hiện toàn diện các yêu cầu bị thiếu.</t>
        </is>
      </c>
      <c r="J17" s="18" t="inlineStr">
        <is>
          <t>Cân bằng và làm rõ hoàn hảo giữa Yêu cầu Chức năng nghiệp vụ (Core Functional Requirements) và Trải nghiệm tương tác (Interaction Experience), ngăn ngừa rủi ro tranh cãi cảm tính.</t>
        </is>
      </c>
      <c r="K17" s="18" t="inlineStr">
        <is>
          <t>Nghiên cứu nền tảng thiết lập cấu trúc quy trình đánh giá mẫu thử theo pha; ứng dụng công nghệ GSS cho phép người dùng nhập phản hồi ẩn danh và song song, loại bỏ hiện tượng thiên lệch nhóm (groupthink).</t>
        </is>
      </c>
      <c r="L17" s="18" t="inlineStr">
        <is>
          <t>Công nghệ GSS thời kỳ 1998 còn sơ khai trên máy tính để bàn mạng nội bộ; ngày nay đã được chuyển hóa thành các công cụ cộng tác trực tuyến hiện đại (như Miro, Figma, FigJam).</t>
        </is>
      </c>
      <c r="M17" s="14" t="inlineStr">
        <is>
          <t>Nền móng phương pháp luận đánh giá Prototype (Why?):
- Bối cảnh &amp; Vấn đề: Các kỹ sư thường than phiền: "Đưa prototype cho khách hàng xem thì họ chỉ toàn cãi nhau về màu sắc nút bấm mà không chịu kiểm tra logic nghiệp vụ!".
- Ý nghĩa: Hickey &amp; Dean là những người đầu tiên đặt nền móng giải quyết vấn đề này bằng một quy trình đánh giá mẫu thử có cấu trúc khoa học.</t>
        </is>
      </c>
      <c r="N17" s="14" t="inlineStr">
        <is>
          <t>Phương pháp đánh giá có sự tham gia kết hợp GSS (How?):
- Thiết kế quy trình:
  + Phân đoạn các phiên đánh giá theo từng nhiệm vụ cụ thể (task-based evaluation).
  + Áp dụng hệ thống Group Support Systems (GSS) cho phép toàn bộ stakeholder nhập phản hồi đồng thời và ẩn danh.
  + Triệt tiêu hiện tượng người có chức vụ cao hoặc to mồm át vía ý kiến của người khác.</t>
        </is>
      </c>
      <c r="O17" s="14" t="inlineStr">
        <is>
          <t>Định hướng vào Chức năng và Phát hiện Thiếu sót (Taxonomy &amp; RQ6.3):
- Chống sa đà bề mặt: Quy trình dẫn dắt người dùng tập trung vào: "Hệ thống có đáp ứng đúng quy trình nghiệp vụ không?" trước khi bàn về giao diện.
- Phát hiện Missing Requirements: Nhờ việc tương tác song song, các nhóm người dùng từ các phòng ban khác nhau nhanh chóng chỉ ra các luồng nghiệp vụ liên phòng ban bị bỏ sót.</t>
        </is>
      </c>
      <c r="P17" s="14" t="inlineStr">
        <is>
          <t>https://aisel.aisnet.org/amcis1998/41</t>
        </is>
      </c>
      <c r="Q17" s="3" t="n"/>
      <c r="R17" s="3" t="n"/>
      <c r="S17" s="3" t="n"/>
      <c r="T17" s="3" t="n"/>
      <c r="U17" s="3" t="n"/>
      <c r="V17" s="3" t="n"/>
      <c r="W17" s="3" t="n"/>
      <c r="X17" s="3" t="n"/>
      <c r="Y17" s="3" t="n"/>
      <c r="Z17" s="3" t="n"/>
    </row>
    <row r="18" ht="22.5" customHeight="1" s="38">
      <c r="A18" s="18">
        <f>A17+1</f>
        <v/>
      </c>
      <c r="B18" s="18" t="inlineStr">
        <is>
          <t>hoffmann2011automotive</t>
        </is>
      </c>
      <c r="C18" s="18" t="inlineStr">
        <is>
          <t>Towards automotive service engineering: a design framework and a process model for developing mobile services in automobiles</t>
        </is>
      </c>
      <c r="D18" s="18" t="inlineStr">
        <is>
          <t>Holger Hoffmann and Jan Marco Leimeister (2011)</t>
        </is>
      </c>
      <c r="E18" s="18" t="inlineStr">
        <is>
          <t>International Journal of Electronic Business (IJEB), Inderscience, Vol. 9, No. 4, pp. 320–349</t>
        </is>
      </c>
      <c r="F18" s="18" t="inlineStr">
        <is>
          <t>Indexed (ref.bib)</t>
        </is>
      </c>
      <c r="G18" s="18" t="inlineStr">
        <is>
          <t>https://doi.org/10.1504/IJEB.2011.043254</t>
        </is>
      </c>
      <c r="H18" s="18" t="inlineStr">
        <is>
          <t>Đề xuất phương pháp In-situ Prototyping (Tạo mẫu tại hiện trường / trong bối cảnh thực) cho Hệ thống dịch vụ di động trên xe hơi (Automotive Services). Tích hợp nguyên mẫu phần mềm trực tiếp vào bảng điều khiển buồng lái xe Audi A6 (màn hình MMI, nút xoay trung tâm, phím bấm trên vô-lăng, hệ thống loa xe hơi) để tài xế vừa lái xe vừa trực tiếp trải nghiệm và tương tác với dịch vụ MACS MyNews.</t>
        </is>
      </c>
      <c r="I18" s="18" t="inlineStr">
        <is>
          <t>Đặc tả văn bản (SRS) và phỏng vấn trong phòng họp khiến kỹ sư lầm tưởng menu duyệt tin tức văn bản 3 cấp là dễ dùng. Khi đưa vào buồng lái ô tô thực tế (In-situ), người dùng phát hiện ngay các Yêu cầu bị bỏ sót chí mạng (Missing Requirements): (1) Thiếu tính năng Chuyển văn bản thành giọng nói (Text-to-Speech / Audio Readout) vì tài xế không thể rời mắt khỏi đường lái để đọc chữ quá 1.5 giây mà không gặp nguy cơ tai nạn; (2) Thiếu luồng xử lý gián đoạn ưu tiên (Interruption Handling) khi có cảnh báo va chạm khẩn cấp hoặc cuộc gọi đến; (3) Cụ thể hóa yêu cầu mơ hồ: thao tác chọn kênh tin tức chỉ được tối đa 1-2 lần bấm từ vô-lăng.</t>
        </is>
      </c>
      <c r="J18" s="18" t="inlineStr">
        <is>
          <t>Bẻ gãy điểm mù NFR Deficit trong Hệ thống đan xen vật lý - không gian mạng (Cyber-Physical Systems): Làm rõ xuất sắc các Yêu cầu Phi chức năng (NFRs) sống còn gồm: An toàn &amp; Quản lý xao nhãng tài xế (Safety &amp; Driver Attention Management), Hiệu năng &amp; Độ trễ viễn thông (Telematics Performance &amp; Latency), và Công thái học âm thanh (Acoustic Noise Constraints).</t>
        </is>
      </c>
      <c r="K18" s="18" t="inlineStr">
        <is>
          <t>Thử nghiệm ứng dụng tin tức tương tác MACS MyNews trong khuôn khổ dự án MACS phối hợp với tập đoàn Audi AG. Đánh giá thực nghiệm trong buồng lái xe Audi A6, tuân thủ nghiêm ngặt Quy tắc an toàn 15 giây (15-second rule) của ngành giao thông vận tải và thiết lập cơ chế Tải trước &amp; Lưu đệm ngoại tuyến (Prefetching &amp; Offline Caching).</t>
        </is>
      </c>
      <c r="L18" s="18" t="inlineStr">
        <is>
          <t>Chi phí chế tạo và lắp đặt buồng lái thử nghiệm (testbed) trên xe Audi A6 thực tế rất đắt đỏ; thử nghiệm in-situ đòi hỏi điều kiện an toàn nghiêm ngặt trên đường thử khép kín trước khi thử nghiệm ngoài đời thực.</t>
        </is>
      </c>
      <c r="M18" s="14" t="inlineStr">
        <is>
          <t>Bối cảnh công nghiệp &amp; Đột phá In-situ Prototyping (Why?):
- Bối cảnh: Ngành ô tô chuyển dịch từ cơ khí phần cứng sang dịch vụ số di động (In-car Mobile Services).
- Hạn chế của RE truyền thống: Ngồi phòng máy lạnh viết SRS hoặc bấm chuột trên desktop không thể phản ánh được áp lực nhận thức của tài xế khi xe đang chạy ở tốc độ cao.</t>
        </is>
      </c>
      <c r="N18" s="14" t="inlineStr">
        <is>
          <t>Giao thức In-situ Prototyping trong xe Audi A6 (How?):
- Tích hợp nguyên mẫu phần mềm MACS MyNews vào hệ thống điều khiển MMI và nút bấm vô-lăng của xe Audi A6.
- Đánh giá khả năng tương tác của tài xế trong điều kiện vận hành thực tế (in-situ evaluation).</t>
        </is>
      </c>
      <c r="O18" s="14" t="inlineStr">
        <is>
          <t>Bằng chứng đối trọng hóa giải NFR Deficit (What?):
- Đập tan luận điểm cho rằng "Prototyping chỉ thấy UI mà bỏ quên NFRs": Prototype trong phòng lab thì bỏ quên NFR, nhưng In-situ Prototyping lại là công cụ số 1 để khai quật NFRs sống còn (An toàn, Xao nhãng, Độ trễ viễn thông, và Âm thanh).
- Đóng góp vào Section III-C và Section V (Gap 3) của bài báo SLR.</t>
        </is>
      </c>
      <c r="P18" s="14" t="n"/>
      <c r="Q18" s="3" t="n"/>
      <c r="R18" s="3" t="n"/>
      <c r="S18" s="3" t="n"/>
      <c r="T18" s="3" t="n"/>
      <c r="U18" s="3" t="n"/>
      <c r="V18" s="3" t="n"/>
      <c r="W18" s="3" t="n"/>
      <c r="X18" s="3" t="n"/>
      <c r="Y18" s="3" t="n"/>
      <c r="Z18" s="3" t="n"/>
    </row>
    <row r="19" ht="22.5" customHeight="1" s="38">
      <c r="A19" s="18">
        <f>A18+1</f>
        <v/>
      </c>
      <c r="B19" s="18" t="inlineStr">
        <is>
          <t>lending2022rubric</t>
        </is>
      </c>
      <c r="C19" s="18" t="inlineStr">
        <is>
          <t>A Rubric to Evaluate and Enhance Requirements Elicitation Interviewing Skills</t>
        </is>
      </c>
      <c r="D19" s="18" t="inlineStr">
        <is>
          <t>Diane Lending, Jeremy D. Ezell, Thomas W. Dillon, and Jeffrey May (2022)</t>
        </is>
      </c>
      <c r="E19" s="18" t="inlineStr">
        <is>
          <t>Journal of Information Systems Education (JISE), Vol. 33, No. 4, pp. 371–387</t>
        </is>
      </c>
      <c r="F19" s="18" t="inlineStr">
        <is>
          <t>PDF Downloaded (papers_pdf/)</t>
        </is>
      </c>
      <c r="G19" s="18" t="inlineStr">
        <is>
          <t>https://jise.org/Volume33/n4/JISE2022v33n4pp371-387.html</t>
        </is>
      </c>
      <c r="H19" s="18" t="inlineStr">
        <is>
          <t>Nghiên cứu bán thực nghiệm 3 năm trên sinh viên ngành CIS tại James Madison University. Xây dựng Thang đo Rubric 5 mức (1=Beginner đến 5=Outstanding) trên 8 kỹ năng RE phỏng vấn, trong đó Trực quan hóa (Visualization / Wireframes / Mockups) là một kỹ năng trung tâm. Phân định rõ 2 chức năng: Formative (sinh viên tự định hướng học tập) và Summative (giảng viên đánh giá).</t>
        </is>
      </c>
      <c r="I19" s="18" t="inlineStr">
        <is>
          <t>So sánh đối đầu giữa Phỏng vấn chay bằng lời (Year-0 Baseline) vs. Phỏng vấn có trang bị công cụ Trực quan hóa/Rubric: Ở năm cơ sở, gần 100% sinh viên phỏng vấn chay bằng lời, điểm trực quan hóa chỉ đạt 1.06/5.0. Sau khi áp dụng Rubric hướng dẫn mang bản vẽ trực quan đến phỏng vấn, điểm số khơi gợi yêu cầu tăng vọt từ 1.68 lên 3.07/5.0, đặc biệt kỹ năng Visualization tăng vọt từ 1.06 lên 3.16 (+2.10 điểm) và 3.31 ở Year-2.</t>
        </is>
      </c>
      <c r="J19" s="18" t="inlineStr">
        <is>
          <t>Làm rõ xuất sắc các Yêu cầu Nghiệp vụ tương lai (To-Be System Design) và Giao diện tương tác thông qua Bản vẽ trực quan. Phân cấp độ tương tác: Level 2 (trưng bày bản vẽ thụ động) không phát hiện được yêu cầu mới; Level 4 (cùng khách hàng sửa đổi bản vẽ trực tiếp - dynamic development) giúp lôi ra toàn bộ giả định ngầm.</t>
        </is>
      </c>
      <c r="K19" s="18" t="inlineStr">
        <is>
          <t>Nghiên cứu bán thực nghiệm 3 năm (Year-0: 16 ratings, Year-1: 16 ratings, Year-2: 16 ratings). Điểm tổng thể tăng từ 1.68 (SD=0.56) lên 3.07 (SD=0.68) và 3.10 (SD=0.70). Tiêu chí Trực quan hóa (Visualization) tăng từ 1.06 (SD=0.24) lên 3.16 (SD=0.76) và 3.31 (SD=0.69).</t>
        </is>
      </c>
      <c r="L19" s="18" t="inlineStr">
        <is>
          <t>Thiết kế bán thực nghiệm (Quasi-experimental) trên sinh viên một trường đại học công lập ở Mỹ; cần mở rộng nghiên cứu và kiểm chứng đa văn hóa trên sinh viên đại học ở các quốc gia khác.</t>
        </is>
      </c>
      <c r="M19" s="14" t="inlineStr">
        <is>
          <t>Tại sao cần Rubric chuẩn hóa trong RE (Why?):
- Lỗ hổng đào tạo: Sinh viên nhận tài liệu viết sẵn thì làm được, nhưng khi đi phỏng vấn thực tế thì không biết hỏi gì.
- Thiếu thước đo: Chưa có công cụ chuẩn hóa nào đo lường năng lực RE của sinh viên, dẫn đến việc đánh giá cảm tính.</t>
        </is>
      </c>
      <c r="N19" s="14" t="inlineStr">
        <is>
          <t>Phương pháp luận &amp; Kỹ năng bẻ lái - The Pivot Problem (How?):
- Thang đo 5 mức, 8 tiêu chí.
- Kỹ năng Pivot: Khi khách hàng nói lan man lạc đề, sinh viên sử dụng bản vẽ/prototype trên bàn làm mỏ neo nhận thức để kéo cuộc đối thoại quay lại đúng trọng tâm.</t>
        </is>
      </c>
      <c r="O19" s="14" t="inlineStr">
        <is>
          <t>Đóng góp giải quyết Research Gap 2 &amp; Hướng 1 (What?):
- Cung cấp cơ sở phương pháp luận và thang đo chuẩn hóa để lấp đầy Research Gap 2 (Thiếu thước đo khoa học trên sinh viên) trong Section V.
- Làm căn cứ đo lường thực nghiệm cho Hướng nghiên cứu đề xuất 1 trên sinh viên Capstone trong Section VI-A.</t>
        </is>
      </c>
      <c r="P19" s="14" t="n"/>
      <c r="Q19" s="3" t="n"/>
      <c r="R19" s="3" t="n"/>
      <c r="S19" s="3" t="n"/>
      <c r="T19" s="3" t="n"/>
      <c r="U19" s="3" t="n"/>
      <c r="V19" s="3" t="n"/>
      <c r="W19" s="3" t="n"/>
      <c r="X19" s="3" t="n"/>
      <c r="Y19" s="3" t="n"/>
      <c r="Z19" s="3" t="n"/>
    </row>
    <row r="20" ht="22.5" customHeight="1" s="38">
      <c r="A20" s="18">
        <f>A19+1</f>
        <v/>
      </c>
      <c r="B20" s="18" t="inlineStr">
        <is>
          <t>kolthoff2024interlinking</t>
        </is>
      </c>
      <c r="C20" s="18" t="inlineStr">
        <is>
          <t>Interlinking User Stories and GUI Prototyping: A Semi-Automatic LLM-Based Approach</t>
        </is>
      </c>
      <c r="D20" s="18" t="inlineStr">
        <is>
          <t>Kristian Kolthoff, Felix Kretzer, Christian Bartelt, Alexander Maedche, and Simone Paolo Ponzetto (2024)</t>
        </is>
      </c>
      <c r="E20" s="18" t="inlineStr">
        <is>
          <t>Proceedings of the 2024 IEEE 32nd International Requirements Engineering Conference (RE)</t>
        </is>
      </c>
      <c r="F20" s="18" t="inlineStr">
        <is>
          <t>PDF Downloaded (papers_pdf/)</t>
        </is>
      </c>
      <c r="G20" s="18" t="inlineStr">
        <is>
          <t>https://github.com/IUS-GUI-Prototyping/IUS-GUI</t>
        </is>
      </c>
      <c r="H20" s="18" t="inlineStr">
        <is>
          <t>Đề xuất hệ sinh thái IUS-GUI Pipeline tích hợp LLM (GPT-4) vào công cụ tạo mẫu (Figma/Adobe XD) để liên kết bán tự động giữa câu chữ User Stories và màn hình GUI Prototype. Gồm 4 module: Trừu tượng hóa GUI sang văn bản phân cấp DSL, phân loại nhị phân phát hiện User Story bị bỏ quên, gán nhãn linh kiện (component matching), và sinh mã gợi ý thiết kế (recommendation).</t>
        </is>
      </c>
      <c r="I20" s="18" t="inlineStr">
        <is>
          <t>Khắc phục sự lệch pha và đứt gãy vết (traceability gap) giữa User Stories dạng văn bản trong Backlog và màn hình prototype trên Figma. Đánh giá trên tập dữ liệu chuẩn 60 GUIs và 210 cặp US-GUI: LLM phát hiện chính xác các User Story bị bỏ quên với Accuracy = 85.2%, F1 = 85.7% (Zero-Shot) và Accuracy = 84.8%, F1 = 85.2% (Few-Shot). Ánh xạ linh kiện đạt Macro-F1 = 76.5%.</t>
        </is>
      </c>
      <c r="J20" s="18" t="inlineStr">
        <is>
          <t>Làm rõ xuất sắc Yêu cầu Chức năng (Functional Requirements) và các Luồng tương tác giao diện người dùng. Phân tích lỗi chỉ ra 2 hiện tượng: False Positive (AI nhầm linh kiện có tên tương đồng) và False Negative (AI không nhận diện được icon đồ họa thiếu nhãn chữ). Chưa hỗ trợ sâu NFRs.</t>
        </is>
      </c>
      <c r="K20" s="18" t="inlineStr">
        <is>
          <t>Thực nghiệm trên 210 cặp US-GUI từ kho dữ liệu Rico (10 domain). Zero-Shot: Accuracy = 0.852, F1 (Implemented) = 0.857, F1 (Not-implemented) = 0.847. Few-Shot (FS5): Accuracy = 0.848, F1 = 0.852. Component Matching: Macro-F1 = 0.765, Micro-F1 = 0.681. Kiểm định McNemar cho thấy hiệu suất ZS và FS cân bằng vững chắc.</t>
        </is>
      </c>
      <c r="L20" s="18" t="inlineStr">
        <is>
          <t>Mô hình hiện tại chỉ khai thác thông tin văn bản của linh kiện GUI (chưa hỗ trợ đa phương thức Multimodal để phân tích hình ảnh/icon thuần túy); tập trung vào ứng dụng di động Android; chưa bao quát NFRs.</t>
        </is>
      </c>
      <c r="M20" s="14" t="inlineStr">
        <is>
          <t>Nỗi đau lệch pha giữa Jira và Figma trong Agile (Why?):
- Bối cảnh: Agile thay đổi liên tục, User Story viết trên Backlog thường bị tách rời khỏi màn hình Prototype trên Figma.
- Hậu quả: Designer quên vẽ tính năng, PO không thể kiểm soát độ bao phủ của prototype, gây bùng nổ rework cuối Sprint.</t>
        </is>
      </c>
      <c r="N20" s="14" t="inlineStr">
        <is>
          <t>Cơ chế 4 bước của IUS-GUI Pipeline (How?):
- Bước 1: Dịch cây giao diện Figma thành văn bản DSL dạng phân cấp (uicomp-text, uicomp-type, uicomp-name).
- Bước 2: Dùng GPT-4 (ZS, FS, CoT) phân loại nhị phân phát hiện câu User Story nào chưa được vẽ (Not-implemented).
- Bước 3: Ánh xạ chính xác ID của nút bấm/ô nhập liệu tương ứng với câu User Story.
- Bước 4: Tự động sinh mã HTML/CSS gợi ý để designer kéo thả vào Figma bổ sung ngay lập tức.</t>
        </is>
      </c>
      <c r="O20" s="14" t="inlineStr">
        <is>
          <t>Đột phá học thuật IEEE RE 2024 (What?):
- Đưa AI vào giải quyết trực diện bài toán Missing Requirements trong Agile với độ chính xác trên 85%.
- Đóng góp vào Section III-B (Empirical Evidence vs Text) và Section VI-A (Hướng nghiên cứu Capstone cho sinh viên).</t>
        </is>
      </c>
      <c r="P20" s="14" t="n"/>
      <c r="Q20" s="3" t="n"/>
      <c r="R20" s="3" t="n"/>
      <c r="S20" s="3" t="n"/>
      <c r="T20" s="3" t="n"/>
      <c r="U20" s="3" t="n"/>
      <c r="V20" s="3" t="n"/>
      <c r="W20" s="3" t="n"/>
      <c r="X20" s="3" t="n"/>
      <c r="Y20" s="3" t="n"/>
      <c r="Z20" s="3" t="n"/>
    </row>
    <row r="21" ht="22.5" customHeight="1" s="38">
      <c r="A21" s="18">
        <f>A20+1</f>
        <v/>
      </c>
      <c r="B21" s="18" t="inlineStr">
        <is>
          <t>kolthoff2024selfelicitation</t>
        </is>
      </c>
      <c r="C21" s="18" t="inlineStr">
        <is>
          <t>Self-Elicitation of Requirements with Automated GUI Prototyping</t>
        </is>
      </c>
      <c r="D21" s="18" t="inlineStr">
        <is>
          <t>Kristian Kolthoff, Christian Bartelt, Simone Paolo Ponzetto, and Kurt Schneider (2024)</t>
        </is>
      </c>
      <c r="E21" s="18" t="inlineStr">
        <is>
          <t>Proceedings of the 39th IEEE/ACM International Conference on Automated Software Engineering (ASE)</t>
        </is>
      </c>
      <c r="F21" s="18" t="inlineStr">
        <is>
          <t>PDF Downloaded (papers_pdf/)</t>
        </is>
      </c>
      <c r="G21" s="18" t="inlineStr">
        <is>
          <t>https://doi.org/10.1145/3691620.3695350</t>
        </is>
      </c>
      <c r="H21" s="18" t="inlineStr">
        <is>
          <t>Đề xuất hệ thống SERGUI cho phép khách hàng Tự khơi gợi yêu cầu (Self-Elicitation of Requirements - SER) thông qua trợ lý AI đối thoại và kho dữ liệu 48.402 màn hình di động (Rico). Quy trình gồm 4 pha: Lọc và xếp hạng màn hình Top-k bằng Sentence-BERT/S2W, khám phá tính năng con, LLM (GPT-4) chủ động dự đoán và gợi ý Top-30 tính năng liên quan, và tự động tái xếp hạng màn hình theo phản hồi.</t>
        </is>
      </c>
      <c r="I21" s="18" t="inlineStr">
        <is>
          <t>Giải quyết căn bệnh khách hàng không biết diễn đạt yêu cầu trong phỏng vấn văn bản truyền thống. Prototype trực quan đóng vai trò "Chất xúc tác kích hoạt trí nhớ" (Cognitive Stimulator). Đánh giá qua 72 phiên tạo mẫu: AI gợi ý tính năng bị bỏ quên đạt MAP = 0.741 (xấp xỉ 3 trong 4 tính năng được xác nhận là yêu cầu bị bỏ sót), MRR = 0.816 (tính năng đúng ở hạng 1.22). Tái xếp hạng giúp cải thiện +61.89 bậc trong 68.05% trường hợp.</t>
        </is>
      </c>
      <c r="J21" s="18" t="inlineStr">
        <is>
          <t>Làm rõ và khơi gợi xuất sắc các Yêu cầu Chức năng (Functional Requirements) và Tính năng trải nghiệm (UX Features). Biến tri thức ẩn (Tacit Knowledge) và nhu cầu tiềm ẩn thành các yêu cầu hiển ngôn (explicit). Hạn chế: Chưa bao quát các yêu cầu phi chức năng sâu (NFRs như bảo mật, chịu tải máy chủ).</t>
        </is>
      </c>
      <c r="K21" s="18" t="inlineStr">
        <is>
          <t>Thực nghiệm trên 72 phiên tạo mẫu với 12 chuyên gia kỹ thuật trên 3 miền ứng dụng (Shopping, News, Social). Feature Recommendation: MAP = 0.741, MRR = 0.816, P@1 = 0.691, P@10 = 0.638. GUI Feature Ranking: MRR = 0.390, HITS@1 = 0.270, HITS@15 = 0.691. GUI Reranking: Tăng trung bình +61.89 ranks (SD: 79.82).</t>
        </is>
      </c>
      <c r="L21" s="18" t="inlineStr">
        <is>
          <t>Tập dữ liệu dựa trên ứng dụng di động Android; đánh giá sơ bộ trên 12 người tham gia; hệ thống tập trung vào các chức năng tương tác trực quan, cần kết hợp kỹ sư cho các NFRs backend.</t>
        </is>
      </c>
      <c r="M21" s="14" t="inlineStr">
        <is>
          <t>Nỗi khổ khách hàng không biết mình muốn gì (Why?):
- Thách thức: Khách hàng không có nền tảng IT nên chỉ nói được 1-2 câu sơ sài, bỏ quên hàng loạt yêu cầu nghiệp vụ ngầm.
- Phỏng vấn truyền thống tốn kém nhiều buổi họp lặp lại giữa analyst và khách hàng.</t>
        </is>
      </c>
      <c r="N21" s="14" t="inlineStr">
        <is>
          <t>Cơ chế SERGUI kích hoạt Self-Elicitation (How?):
- Khách hàng gõ câu yêu cầu sơ khởi -&gt; SERGUI lôi màn hình mẫu từ kho 48.000 GUI ra cho xem.
- GPT-4 chủ động gợi ý Top-30 tính năng liên quan kèm hình ảnh minh họa -&gt; Khách hàng tự nhận ra và bấm chọn bổ sung.</t>
        </is>
      </c>
      <c r="O21" s="14" t="inlineStr">
        <is>
          <t>Đột phá học thuật ACM/IEEE ASE 2024 của GS. Kurt Schneider (What?):
- Chứng minh Prototype trực quan đóng vai trò chất xúc tác nhận thức giúp khách hàng tự khơi gợi yêu cầu bị thiếu (Missing/Tacit).
- Đóng góp vào Section I (Introduction) và Section III-A (Elicitation Mechanisms) của bài báo SLR.</t>
        </is>
      </c>
      <c r="P21" s="14" t="n"/>
      <c r="Q21" s="3" t="n"/>
      <c r="R21" s="3" t="n"/>
      <c r="S21" s="3" t="n"/>
      <c r="T21" s="3" t="n"/>
      <c r="U21" s="3" t="n"/>
      <c r="V21" s="3" t="n"/>
      <c r="W21" s="3" t="n"/>
      <c r="X21" s="3" t="n"/>
      <c r="Y21" s="3" t="n"/>
      <c r="Z21" s="3" t="n"/>
    </row>
    <row r="22" ht="22.5" customHeight="1" s="38">
      <c r="A22" s="18">
        <f>A21+1</f>
        <v/>
      </c>
      <c r="B22" s="18" t="inlineStr">
        <is>
          <t>wei2023boosting</t>
        </is>
      </c>
      <c r="C22" s="18" t="inlineStr">
        <is>
          <t>Boosting GUI Prototyping with Diffusion Models</t>
        </is>
      </c>
      <c r="D22" s="18" t="inlineStr">
        <is>
          <t>Jialiang Wei, Anne-Lise Courbis, Thomas Lambolais, Binbin Xu, Pierre Louis Bernard, and Gérard Dray (2023)</t>
        </is>
      </c>
      <c r="E22" s="18" t="inlineStr">
        <is>
          <t>Proceedings of the 2023 IEEE 31st International Requirements Engineering Conference (RE), pp. 275–280</t>
        </is>
      </c>
      <c r="F22" s="18" t="inlineStr">
        <is>
          <t>PDF Downloaded (papers_pdf/)</t>
        </is>
      </c>
      <c r="G22" s="18" t="inlineStr">
        <is>
          <t>https://doi.org/10.1109/RE57278.2023.00035</t>
        </is>
      </c>
      <c r="H22" s="18" t="inlineStr">
        <is>
          <t>Đề xuất công cụ UI-Diffuser ứng dụng mô hình khuếch tán (Stable Diffusion v1.5 + ControlNet) kết hợp LayoutDM để tạo mẫu giao diện di động tự động từ câu prompt văn bản và danh sách linh kiện UI. Quy trình 2 bước: Dựng khung xương vị trí linh kiện bằng LayoutDM, sau đó dùng ControlNet khóa vị trí và Stable Diffusion khử nhiễu sinh ra ảnh giao diện hoàn chỉnh (288x512) trong vòng vài giây.</t>
        </is>
      </c>
      <c r="I22" s="18" t="inlineStr">
        <is>
          <t>Bẻ gãy rào cản chi phí thời gian (Prototyping Overhead) trong các Sprint Agile. Thay vì mất trung bình 145 phút vẽ tay (Rueda 2020) hoặc nhiều giờ chỉnh sửa trên Figma, UI-Diffuser sinh ra hàng loạt phương án giao diện trực quan trong tích tắc ngay tại buổi họp Backlog Grooming. Giúp PO và khách hàng có ngay mẫu thử trực quan để đối chiếu, phát hiện thiếu sót yêu cầu mà không làm trễ tiến độ Sprint.</t>
        </is>
      </c>
      <c r="J22" s="18" t="inlineStr">
        <is>
          <t>Làm rõ xuất sắc các Yêu cầu Giao diện (GUIs), Bố cục tương tác (Layout), và Phong cách thẩm mỹ (Aesthetics). Thử nghiệm trên 6 loại ứng dụng: Login, Tutorial, Gallery, Maps, Mediaplayer, và Profile. Hạn chế: Đầu ra là ảnh phẳng (PNG/JPEG) không tương tác được trực tiếp; đôi khi bỏ sót chi tiết nhỏ (như banner quảng cáo).</t>
        </is>
      </c>
      <c r="K22" s="18" t="inlineStr">
        <is>
          <t>Huấn luyện tinh chỉnh trên kho dữ liệu Rico (66k màn hình app Android, 25 danh mục linh kiện) và chú thích ngôn ngữ tự nhiên XUI trên GPU Nvidia Tesla T4 (16GB VRAM) qua 16.000 bước. Tốc độ sinh ảnh trong vài giây (a matter of seconds), chứng minh tính khả thi kỹ thuật vượt trội.</t>
        </is>
      </c>
      <c r="L22" s="18" t="inlineStr">
        <is>
          <t>Ảnh giao diện sinh ra là ảnh phẳng (raster image), không thể chỉnh sửa từng layer vector như trong Figma; chữ trong ảnh đôi khi bị mờ (đặc trưng của Stable Diffusion); phù hợp làm cảm hứng trực quan ban đầu hơn là prototype tương tác.</t>
        </is>
      </c>
      <c r="M22" s="14" t="inlineStr">
        <is>
          <t>Nghịch lý chi phí và thời gian làm Prototype trong Agile (Why?):
- Thách thức: Ai cũng biết prototype giúp làm rõ yêu cầu, nhưng vẽ prototype tốn quá nhiều thời gian nên các nhóm Agile thường bỏ qua.
- Các AI vẽ tranh thông thường (Midjourney, DALL-E) không hiểu cấu trúc phân cấp linh kiện app nên vẽ ra các giao diện méo mó không dùng được.</t>
        </is>
      </c>
      <c r="N22" s="14" t="inlineStr">
        <is>
          <t>Kiến trúc 2 pha kết hợp LayoutDM + ControlNet (How?):
- Pha 1: LayoutDM sắp xếp tọa độ khung xương (wireframe layout) chuẩn xác cho các nút bấm, ô text, icon.
- Pha 2: ControlNet khóa chặt khung xương, ép Stable Diffusion khử nhiễu và tô vẽ màu sắc, chi tiết theo câu prompt văn bản.</t>
        </is>
      </c>
      <c r="O22" s="14" t="inlineStr">
        <is>
          <t>Đột phá Generative AI Prototyping trong IEEE RE 2023 (What?):
- Mở ra kỷ nguyên sinh mẫu giao diện bằng AI trong vài giây, giải quyết bài toán đánh đổi chi phí - lợi ích (Cost-Benefit Trade-off).
- Đóng góp vào Section IV (Comparative Analysis &amp; Tooling Costs) của bài báo SLR.</t>
        </is>
      </c>
      <c r="P22" s="14" t="n"/>
      <c r="Q22" s="3" t="n"/>
      <c r="R22" s="3" t="n"/>
      <c r="S22" s="3" t="n"/>
      <c r="T22" s="3" t="n"/>
      <c r="U22" s="3" t="n"/>
      <c r="V22" s="3" t="n"/>
      <c r="W22" s="3" t="n"/>
      <c r="X22" s="3" t="n"/>
      <c r="Y22" s="3" t="n"/>
      <c r="Z22" s="3" t="n"/>
    </row>
    <row r="23" ht="22.5" customHeight="1" s="38">
      <c r="A23" s="18">
        <f>A22+1</f>
        <v/>
      </c>
      <c r="B23" s="18" t="inlineStr">
        <is>
          <t>lim2008anatomy</t>
        </is>
      </c>
      <c r="C23" s="18" t="inlineStr">
        <is>
          <t>The Anatomy of Prototypes: Prototypes as Filters, Prototypes as Manifestations of Design Ideas</t>
        </is>
      </c>
      <c r="D23" s="18" t="inlineStr">
        <is>
          <t>Youn-Kyung Lim, Erik Stolterman, and Josh Tenenberg (2008)</t>
        </is>
      </c>
      <c r="E23" s="18" t="inlineStr">
        <is>
          <t>ACM Transactions on Computer-Human Interaction (TOCHI), Vol. 15, No. 2, Article 7, pp. 1–27</t>
        </is>
      </c>
      <c r="F23" s="18" t="inlineStr">
        <is>
          <t>PDF Downloaded (papers_pdf/)</t>
        </is>
      </c>
      <c r="G23" s="18" t="inlineStr">
        <is>
          <t>https://doi.org/10.1145/1375761.1375762</t>
        </is>
      </c>
      <c r="H23" s="18" t="inlineStr">
        <is>
          <t>Định nghĩa bản thể luận (Ontology) mang tính bước ngoặt: Prototype là Bộ lọc (Filter) thám hiểm không gian thiết kế và là Hiện thân (Manifestation) của ý tưởng. Sức mạnh cốt lõi của prototype nằm ở sự "CHƯA HOÀN THIỆN" (Incompleteness as Strength). Prototype hữu ích chính ở những gì nó CỐ TÌNH BỎ QUA (không code, không tô vẽ chi tiết thừa) để tập trung nhận thức vào các chất lượng cần kiểm chứng. 5 chiều lọc (Filtering Dimensions): Appearance, Data, Functionality, Interactivity, Spatial structure.</t>
        </is>
      </c>
      <c r="I23" s="18" t="inlineStr">
        <is>
          <t>Khẳng định văn bản đặc tả hình thức (textual specifications) làm quá tải nhận thức vì nhồi nhét mọi thứ cùng lúc. Nguyên lý kinh tế của tạo mẫu (Economic Principle of Prototyping): Bản mẫu tốt nhất là bản mẫu đơn giản nhất và hiệu quả nhất, làm cho các tiềm năng và giới hạn của ý tưởng thiết kế trở nên hiển hiện và đo lường được. Giúp phát hiện các yêu cầu bị bỏ sót (Missing Requirements) bằng cách cô lập và thử nghiệm từng chiều tương tác độc lập.</t>
        </is>
      </c>
      <c r="J23" s="18" t="inlineStr">
        <is>
          <t>Làm rõ xuất sắc các yêu cầu Tương tác (Interactivity), Luồng chức năng (Functionality), Bố cục không gian (Spatial structure) và Trải nghiệm ngoại quan (Appearance). Cảnh báo: Nếu tăng độ trung thực quá sớm trên tất cả các chiều, nhóm phát triển sẽ bị rơi vào bẫy "đóng băng tư duy" và tốn kém nguồn lực vô ích.</t>
        </is>
      </c>
      <c r="K23" s="18" t="inlineStr">
        <is>
          <t>Khung lý thuyết giải phẫu Prototype (The Anatomy of Prototypes) kiểm chứng qua 2 nghiên cứu điển hình sâu sắc trong thiết kế tương tác và kỹ nghệ phần mềm. Cung cấp nền tảng triết học trực tiếp cho mô hình PAM 5 chiều (Bjarnason et al., 2023).</t>
        </is>
      </c>
      <c r="L23" s="18" t="inlineStr">
        <is>
          <t>Bài báo thiên về lý thuyết bản thể luận và thiết kế tương tác (HCI/Design Theory), không cung cấp các phép kiểm định thống kê suy diễn (p-value); cần kết hợp với các nghiên cứu thực nghiệm kiểm định trong SE.</t>
        </is>
      </c>
      <c r="M23" s="14" t="inlineStr">
        <is>
          <t>Bản thể luận về Prototype (Why?):
- Lỗ hổng trước 2008: Ngành công nghệ chỉ coi prototype là công cụ kiểm thử thụ động ở cuối chu trình (Usability Testing), chia thô sơ Lo-Fi vs Hi-Fi.
- Lim et al. tái định nghĩa: Prototype là công cụ tư duy khám phá (Design-Thinking Enabler) xuyên suốt toàn bộ quá trình phát triển.</t>
        </is>
      </c>
      <c r="N23" s="14" t="inlineStr">
        <is>
          <t>Cơ chế Bộ lọc (How?):
- Incompleteness: Sự chưa hoàn thiện giúp người thiết kế lọc bỏ các chi tiết kỹ thuật phức tạp, giải phóng tải nhận thức để tập trung vào luồng tác vụ người dùng.
- Manifestation: Hiện thân hóa ý tưởng trừu tượng thành vật thể cụ thể qua 3 yếu tố: Vật liệu (Material), Độ phân giải (Resolution), và Phạm vi (Scope).</t>
        </is>
      </c>
      <c r="O23" s="14" t="inlineStr">
        <is>
          <t>Đóng góp cốt lõi cho đề tài SLR:
- Cung cấp cơ sở lý thuyết gốc giải thích vì sao Paper Prototype lôi được Missing Requirements trong RQ6.1 &amp; RQ6.2.
- Giải thích hiện tượng Premature Idea Cementing khi vi phạm Nguyên lý kinh tế của tạo mẫu. Đóng góp vào Section I và Section III-A.</t>
        </is>
      </c>
      <c r="P23" s="14" t="n"/>
      <c r="Q23" s="3" t="n"/>
      <c r="R23" s="3" t="n"/>
      <c r="S23" s="3" t="n"/>
      <c r="T23" s="3" t="n"/>
      <c r="U23" s="3" t="n"/>
      <c r="V23" s="3" t="n"/>
      <c r="W23" s="3" t="n"/>
      <c r="X23" s="3" t="n"/>
      <c r="Y23" s="3" t="n"/>
      <c r="Z23" s="3" t="n"/>
    </row>
    <row r="24" ht="22.5" customHeight="1" s="38">
      <c r="A24" s="18">
        <f>A23+1</f>
        <v/>
      </c>
      <c r="B24" s="18" t="inlineStr">
        <is>
          <t>inayat2015systematic</t>
        </is>
      </c>
      <c r="C24" s="18" t="inlineStr">
        <is>
          <t>A systematic literature review on agile requirements engineering practices and challenges</t>
        </is>
      </c>
      <c r="D24" s="18" t="inlineStr">
        <is>
          <t>Irum Inayat, Siti Salwah Salim, Sabrina Marczak, Maya Daneva, and Shahaboddin Shamshirband (2015)</t>
        </is>
      </c>
      <c r="E24" s="18" t="inlineStr">
        <is>
          <t>Computers in Human Behavior (Elsevier), Vol. 51, Part B, pp. 915–929</t>
        </is>
      </c>
      <c r="F24" s="18" t="inlineStr">
        <is>
          <t>PDF Downloaded (papers_pdf/)</t>
        </is>
      </c>
      <c r="G24" s="18" t="inlineStr">
        <is>
          <t>https://doi.org/10.1016/j.chb.2014.10.046</t>
        </is>
      </c>
      <c r="H24" s="18" t="inlineStr">
        <is>
          <t>Nghiên cứu tổng quan hệ thống (SLR) toàn diện xác định 17 thực hành Agile RE và 8 thách thức lớn. Xếp Prototyping (Thực hành số 8) là công cụ trọng yếu để xem xét đặc tả yêu cầu với khách hàng và thu nhận phản hồi kịp thời trước mỗi Sprint. Cung cấp cho khách hàng "Bản thiết kế trực quan (Visual Blueprint)" của sản phẩm, giúp chuyển dịch việc thẩm định yêu cầu (Validation) lên sớm ngay từ đầu chu kỳ.</t>
        </is>
      </c>
      <c r="I24" s="18" t="inlineStr">
        <is>
          <t>Bóc trần nghịch lý của Agile RE: User Stories ngắn gọn giúp linh hoạt nhưng dẫn đến điểm mù "Minimal Documentation", hiểu lầm từ khách hàng đại diện (Surrogate Customers) và làm gia tăng khối lượng làm lại (Massive Rework). Prototyping đứng đầu trong các thực hành giúp giảm thiểu Rework và hóa giải mâu thuẫn yêu cầu. Trích dẫn định lý Tomayko (2002): "With prototyping, there are no wrong requirements; the only requirements are those waiting to be discovered."</t>
        </is>
      </c>
      <c r="J24" s="18" t="inlineStr">
        <is>
          <t>Chỉ ra điểm yếu chí mạng của User Stories thông thường: Chỉ tập trung vào tính năng bề mặt của hệ thống (System/Product Features), bỏ quên hoàn toàn các yêu cầu phi chức năng (NFRs như Security, Performance, Scalability). Prototyping kết hợp Acceptance Tests và User Stories giúp bù đắp lỗ hổng này.</t>
        </is>
      </c>
      <c r="K24" s="18" t="inlineStr">
        <is>
          <t>Tổng hợp từ hàng chục nghiên cứu thực nghiệm công nghiệp. Chứng minh Prototyping kết hợp Face-to-face communication là cặp đôi hoàn hảo giải quyết triệt để khoảng cách giao tiếp (Communication Gap) và hiện tượng phình phạm vi (Overscoping) của RE truyền thống.</t>
        </is>
      </c>
      <c r="L24" s="18" t="inlineStr">
        <is>
          <t>Cảnh báo: Tạo mẫu nhiều bản High-fidelity Prototypes trong Agile có thể tốn kém chi phí quá mức (prohibitively expensive); cần áp dụng Low-fi và Rapid Prototyping trong các Sprint đầu.</t>
        </is>
      </c>
      <c r="M24" s="14" t="inlineStr">
        <is>
          <t>Thách thức sống còn trong Agile RE (Why?):
- RE truyền thống bị bế tắc vì tài liệu SRS quá dày và khó thẩm định.
- Agile chuyển sang User Stories nhưng lại mắc bẫy tài liệu quá sơ sài, thiếu vắng NFRs và gây bùng nổ rework khi hiểu lầm yêu cầu.</t>
        </is>
      </c>
      <c r="N24" s="14" t="inlineStr">
        <is>
          <t>Prototyping giải cứu Agile RE (How?):
- Prototyping cung cấp "Visual Blueprint" cụ thể hóa User Story.
- Khách hàng không cần phải đọc tài liệu kỹ thuật phức tạp mà trực tiếp trải nghiệm bản mẫu, phát hiện yêu cầu còn thiếu và chốt tiêu chí nghiệm thu (Acceptance Criteria).</t>
        </is>
      </c>
      <c r="O24" s="14" t="inlineStr">
        <is>
          <t>Đóng góp cốt lõi cho đề tài SLR:
- Cung cấp bằng chứng thực nghiệm cấp độ SLR bảo vệ cho RQ6.2.
- Là cơ sở lý thuyết trực tiếp cho đề xuất "Enriched User Stories" (Keshk 2022) tại Section VI-A của bài báo.</t>
        </is>
      </c>
      <c r="P24" s="14" t="n"/>
      <c r="Q24" s="3" t="n"/>
      <c r="R24" s="3" t="n"/>
      <c r="S24" s="3" t="n"/>
      <c r="T24" s="3" t="n"/>
      <c r="U24" s="3" t="n"/>
      <c r="V24" s="3" t="n"/>
      <c r="W24" s="3" t="n"/>
      <c r="X24" s="3" t="n"/>
      <c r="Y24" s="3" t="n"/>
      <c r="Z24" s="3" t="n"/>
    </row>
    <row r="25" ht="22.5" customHeight="1" s="38">
      <c r="A25" s="18">
        <f>A24+1</f>
        <v/>
      </c>
      <c r="B25" s="18" t="inlineStr">
        <is>
          <t>berry2003contract</t>
        </is>
      </c>
      <c r="C25" s="18" t="inlineStr">
        <is>
          <t>From Contract Drafting to Software Specification: Linguistic Sources of Ambiguity</t>
        </is>
      </c>
      <c r="D25" s="18" t="inlineStr">
        <is>
          <t>Daniel M. Berry, Erik Kamsties, and Michael M. Krieger (2003)</t>
        </is>
      </c>
      <c r="E25" s="18" t="inlineStr">
        <is>
          <t>Technical Report / Reference Handbook, University of Waterloo &amp; University of Essen, 80 pages</t>
        </is>
      </c>
      <c r="F25" s="18" t="inlineStr">
        <is>
          <t>PDF Downloaded (papers_pdf/)</t>
        </is>
      </c>
      <c r="G25" s="18" t="inlineStr">
        <is>
          <t>https://cs.uwaterloo.ca/~dberry/handbook/ambiguityHandbook.pdf</t>
        </is>
      </c>
      <c r="H25" s="18" t="inlineStr">
        <is>
          <t>Cẩm nang kinh điển của GS. Daniel M. Berry thiết lập mối liên hệ giữa soạn thảo hợp đồng pháp lý và viết đặc tả yêu cầu phần mềm (SRS). Khảo sát chứng minh 71.8% tài liệu yêu cầu được viết bằng ngôn ngữ tự nhiên thông thường (Common Natural Language), biến sự mơ hồ (Ambiguity) thành nguồn gốc số 1 của lỗi phần mềm. Đề xuất việc kết hợp ngôn ngữ tự nhiên với các biểu diễn trực quan (Diagrams, Wireframes, Formulae) để khử mơ hồ.</t>
        </is>
      </c>
      <c r="I25" s="18" t="inlineStr">
        <is>
          <t>Phát hiện hiện tượng tâm lý học ngôn ngữ nguy hiểm nhất: "Giải mơ hồ vô thức" (Unconscious Disambiguation). Người đọc tự động hiểu câu theo nghĩa đầu tiên xuất hiện trong đầu và tin chắc đó là nghĩa duy nhất, dẫn đến việc PO và Dev hiểu theo hai hướng hoàn toàn trái ngược nhau mà không hề hay biết! Văn bản thô (SRS/User Story) không thể tự triệt tiêu được bẫy này; cần Prototype làm vật đối chứng cụ thể.</t>
        </is>
      </c>
      <c r="J25" s="18" t="inlineStr">
        <is>
          <t>Thiết lập Khung phân loại 4 loại mơ hồ ngôn ngữ học chuẩn mực thế giới: 1. Structural/Syntactic Ambiguity (Mơ hồ Cấu trúc/Cú pháp). 2. Scope/Semantic Ambiguity (Mơ hồ Phạm vi Lượng từ). 3. Anaphoric/Pragmatic Ambiguity (Mơ hồ Đại từ Thay thế &amp; Ngữ cảnh). 4. Vagueness/Generality (Mơ hồ Định tính &amp; Ranh giới mập mờ).</t>
        </is>
      </c>
      <c r="K25" s="18" t="inlineStr">
        <is>
          <t>Cung cấp định nghĩa hình thức và hàng trăm ví dụ thực tế về các cạm bẫy ngôn từ trong SRS. Là nền tảng lý thuyết trực tiếp cho toàn bộ các nghiên cứu về phát hiện mơ hồ sau này trong RE (Ferrari 2016, Spoletini 2018, Cascon 2025).</t>
        </is>
      </c>
      <c r="L25" s="18" t="inlineStr">
        <is>
          <t>Cẩm nang tập trung vào phân tích ngôn ngữ học và các quy tắc viết văn bản; việc tự động hóa phát hiện mơ hồ thời điểm 2003 còn sơ khai (ngày nay đã được AI/LLM giải quyết như trong Cascon 2025).</t>
        </is>
      </c>
      <c r="M25" s="14" t="inlineStr">
        <is>
          <t>Cội nguồn của sự mơ hồ trong RE (Why?):
- 71.8% yêu cầu viết bằng ngôn ngữ tự nhiên vốn chứa đầy sự đa nghĩa.
- "Unconscious Disambiguation" khiến các bên tưởng mình đã thống nhất nhưng thực tế đang hiểu sai lệch hoàn toàn.</t>
        </is>
      </c>
      <c r="N25" s="14" t="inlineStr">
        <is>
          <t>Taxonomy 4 loại mơ hồ (How?):
- Phân loại rõ ràng 4 loại lỗi: Structural (cấu trúc ngữ pháp), Scope (phạm vi lượng từ), Anaphoric (đại từ không rõ tiền ngữ), và Vagueness (tính từ mập mờ).
- Đặt ra các chiến lược phát hiện và né tránh mơ hồ.</t>
        </is>
      </c>
      <c r="O25" s="14" t="inlineStr">
        <is>
          <t>Đóng góp cốt lõi cho đề tài SLR:
- Là NỀN TẢNG LÝ THUYẾT TRỰC TIẾP cho Bộ Checklist 4 loại mơ hồ trong Thực nghiệm Pilot Test của Nhi (Section VI-B).
- Giải thích cơ chế vì sao Wireframe triệt tiêu được 93.3% mơ hồ ngôn từ. Đóng góp vào Section III-B, Section V và Section VI-B.</t>
        </is>
      </c>
      <c r="P25" s="14" t="n"/>
      <c r="Q25" s="3" t="n"/>
      <c r="R25" s="3" t="n"/>
      <c r="S25" s="3" t="n"/>
      <c r="T25" s="3" t="n"/>
      <c r="U25" s="3" t="n"/>
      <c r="V25" s="3" t="n"/>
      <c r="W25" s="3" t="n"/>
      <c r="X25" s="3" t="n"/>
      <c r="Y25" s="3" t="n"/>
      <c r="Z25" s="3" t="n"/>
    </row>
    <row r="26" ht="22.5" customHeight="1" s="38">
      <c r="A26" s="18">
        <f>A25+1</f>
        <v/>
      </c>
      <c r="B26" s="18" t="n"/>
      <c r="C26" s="18" t="n"/>
      <c r="D26" s="18" t="n"/>
      <c r="E26" s="18" t="n"/>
      <c r="F26" s="18" t="n"/>
      <c r="G26" s="18" t="n"/>
      <c r="H26" s="18" t="n"/>
      <c r="I26" s="18" t="n"/>
      <c r="J26" s="18" t="n"/>
      <c r="K26" s="18" t="n"/>
      <c r="L26" s="18" t="n"/>
      <c r="M26" s="14" t="n"/>
      <c r="N26" s="14" t="n"/>
      <c r="O26" s="14" t="n"/>
      <c r="P26" s="14" t="n"/>
      <c r="Q26" s="3" t="n"/>
      <c r="R26" s="3" t="n"/>
      <c r="S26" s="3" t="n"/>
      <c r="T26" s="3" t="n"/>
      <c r="U26" s="3" t="n"/>
      <c r="V26" s="3" t="n"/>
      <c r="W26" s="3" t="n"/>
      <c r="X26" s="3" t="n"/>
      <c r="Y26" s="3" t="n"/>
      <c r="Z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row r="1001">
      <c r="A1001" s="3" t="n"/>
      <c r="B1001" s="3" t="n"/>
      <c r="C1001" s="3" t="n"/>
      <c r="D1001" s="3" t="n"/>
      <c r="E1001" s="3" t="n"/>
      <c r="F1001" s="3" t="n"/>
      <c r="G1001" s="3" t="n"/>
      <c r="H1001" s="3" t="n"/>
      <c r="I1001" s="3" t="n"/>
      <c r="J1001" s="3" t="n"/>
      <c r="K1001" s="3" t="n"/>
      <c r="L1001" s="3" t="n"/>
      <c r="M1001" s="3" t="n"/>
      <c r="N1001" s="3" t="n"/>
      <c r="O1001" s="3" t="n"/>
      <c r="P1001" s="3" t="n"/>
      <c r="Q1001" s="3" t="n"/>
      <c r="R1001" s="3" t="n"/>
      <c r="S1001" s="3" t="n"/>
      <c r="T1001" s="3" t="n"/>
      <c r="U1001" s="3" t="n"/>
      <c r="V1001" s="3" t="n"/>
      <c r="W1001" s="3" t="n"/>
      <c r="X1001" s="3" t="n"/>
      <c r="Y1001" s="3" t="n"/>
      <c r="Z1001" s="3" t="n"/>
    </row>
  </sheetData>
  <hyperlinks>
    <hyperlink xmlns:r="http://schemas.openxmlformats.org/officeDocument/2006/relationships" ref="G2" r:id="rId1"/>
    <hyperlink xmlns:r="http://schemas.openxmlformats.org/officeDocument/2006/relationships" ref="P2" r:id="rId2"/>
    <hyperlink xmlns:r="http://schemas.openxmlformats.org/officeDocument/2006/relationships" ref="G3" r:id="rId3"/>
    <hyperlink xmlns:r="http://schemas.openxmlformats.org/officeDocument/2006/relationships" ref="P3" r:id="rId4"/>
    <hyperlink xmlns:r="http://schemas.openxmlformats.org/officeDocument/2006/relationships" ref="G4" r:id="rId5"/>
    <hyperlink xmlns:r="http://schemas.openxmlformats.org/officeDocument/2006/relationships" ref="P4" r:id="rId6"/>
  </hyperlinks>
  <pageMargins left="0.75" right="0.75" top="1" bottom="1" header="0.5" footer="0.5"/>
  <tableParts count="1">
    <tablePart xmlns:r="http://schemas.openxmlformats.org/officeDocument/2006/relationships" r:id="rId7"/>
  </tableParts>
</worksheet>
</file>

<file path=xl/worksheets/sheet2.xml><?xml version="1.0" encoding="utf-8"?>
<worksheet xmlns="http://schemas.openxmlformats.org/spreadsheetml/2006/main">
  <sheetPr>
    <outlinePr summaryBelow="0" summaryRight="0"/>
    <pageSetUpPr/>
  </sheetPr>
  <dimension ref="A1:Z1005"/>
  <sheetViews>
    <sheetView workbookViewId="0">
      <pane ySplit="1" topLeftCell="A2" activePane="bottomLeft" state="frozen"/>
      <selection pane="bottomLeft" activeCell="B3" sqref="B3"/>
    </sheetView>
  </sheetViews>
  <sheetFormatPr baseColWidth="8" defaultColWidth="12.63" defaultRowHeight="15.75" customHeight="1"/>
  <cols>
    <col width="16.63" customWidth="1" style="38" min="2" max="2"/>
    <col width="21.38" customWidth="1" style="38" min="3" max="3"/>
    <col width="30.13" customWidth="1" style="38" min="4" max="4"/>
    <col width="37.63" customWidth="1" style="38" min="5" max="5"/>
    <col width="16.75" customWidth="1" style="38" min="6" max="6"/>
    <col width="37.63" customWidth="1" style="38" min="7" max="7"/>
    <col width="55.13" customWidth="1" style="38" min="8" max="8"/>
    <col width="101.38" customWidth="1" style="38" min="9" max="9"/>
  </cols>
  <sheetData>
    <row r="1">
      <c r="A1" s="15" t="inlineStr">
        <is>
          <t>Ref ID</t>
        </is>
      </c>
      <c r="B1" s="15" t="inlineStr">
        <is>
          <t>BibTeX Key</t>
        </is>
      </c>
      <c r="C1" s="15" t="inlineStr">
        <is>
          <t>Source / Section</t>
        </is>
      </c>
      <c r="D1" s="15" t="inlineStr">
        <is>
          <t>Topic / Concept</t>
        </is>
      </c>
      <c r="E1" s="15" t="inlineStr">
        <is>
          <t>Standard Definition &amp; Theory (IREB / CPRE)</t>
        </is>
      </c>
      <c r="F1" s="15" t="inlineStr">
        <is>
          <t>Mapping to RQ</t>
        </is>
      </c>
      <c r="G1" s="15" t="inlineStr">
        <is>
          <t>Role in SLR Paper</t>
        </is>
      </c>
      <c r="H1" s="15" t="inlineStr">
        <is>
          <t>Notes &amp; Critical Synthesis for RP6</t>
        </is>
      </c>
      <c r="I1" s="16" t="inlineStr">
        <is>
          <t>nhom nhom</t>
        </is>
      </c>
      <c r="J1" s="3" t="n"/>
      <c r="K1" s="3" t="n"/>
      <c r="L1" s="3" t="n"/>
      <c r="M1" s="3" t="n"/>
      <c r="N1" s="3" t="n"/>
      <c r="O1" s="3" t="n"/>
      <c r="P1" s="3" t="n"/>
      <c r="Q1" s="3" t="n"/>
      <c r="R1" s="3" t="n"/>
      <c r="S1" s="3" t="n"/>
      <c r="T1" s="3" t="n"/>
      <c r="U1" s="3" t="n"/>
      <c r="V1" s="3" t="n"/>
      <c r="W1" s="3" t="n"/>
      <c r="X1" s="3" t="n"/>
      <c r="Y1" s="3" t="n"/>
    </row>
    <row r="2">
      <c r="A2" s="17" t="inlineStr">
        <is>
          <t>BK-01</t>
        </is>
      </c>
      <c r="B2" s="18" t="inlineStr">
        <is>
          <t>PohlRupp2015</t>
        </is>
      </c>
      <c r="C2" s="18" t="inlineStr">
        <is>
          <t>Ch. 5: Natural Language SRS</t>
        </is>
      </c>
      <c r="D2" s="17" t="inlineStr">
        <is>
          <t>5 Transformational Effects (Bản chất lỗi văn bản)</t>
        </is>
      </c>
      <c r="E2" s="18" t="inlineStr">
        <is>
          <t>Chuyển ý nghĩ sang chữ viết gây mất mát thông tin qua: (1) Danh từ hóa, (2) Danh từ thiếu đối tượng tham chiếu, (3) Lượng từ toàn thể, (4) Động từ thiếu thành phần, và (5) Điều kiện không đầy đủ (chỉ có If mà quên Else).</t>
        </is>
      </c>
      <c r="F2" s="17" t="inlineStr">
        <is>
          <t>RQ6.2</t>
        </is>
      </c>
      <c r="G2" s="18" t="inlineStr">
        <is>
          <t>Section I (Intro) &amp; Section IV-B (Comparative Analysis)</t>
        </is>
      </c>
      <c r="H2" s="17" t="inlineStr">
        <is>
          <t>Cơ sở giải thích gốc rễ: Lý do vì sao Textual SRS luôn sinh ra lỗi thiếu sót (Missing) và mơ hồ (Ambiguous). Viết chữ rất dễ quên kịch bản lỗi/Else, nhưng lên Prototype thì bắt buộc phải làm rõ.</t>
        </is>
      </c>
      <c r="I2" s="25" t="inlineStr">
        <is>
          <t>WHY?</t>
        </is>
      </c>
      <c r="J2" s="3" t="n"/>
      <c r="K2" s="3" t="n"/>
      <c r="L2" s="3" t="n"/>
      <c r="M2" s="3" t="n"/>
      <c r="N2" s="3" t="n"/>
      <c r="O2" s="3" t="n"/>
      <c r="P2" s="3" t="n"/>
      <c r="Q2" s="3" t="n"/>
      <c r="R2" s="3" t="n"/>
      <c r="S2" s="3" t="n"/>
      <c r="T2" s="3" t="n"/>
      <c r="U2" s="3" t="n"/>
      <c r="V2" s="3" t="n"/>
      <c r="W2" s="3" t="n"/>
      <c r="X2" s="3" t="n"/>
      <c r="Y2" s="3" t="n"/>
    </row>
    <row r="3">
      <c r="A3" s="17" t="inlineStr">
        <is>
          <t>BK-02</t>
        </is>
      </c>
      <c r="B3" s="18" t="inlineStr">
        <is>
          <t>PohlRupp2015</t>
        </is>
      </c>
      <c r="C3" s="18" t="inlineStr">
        <is>
          <t>Sec 1.b: Kano Model</t>
        </is>
      </c>
      <c r="D3" s="17" t="inlineStr">
        <is>
          <t>Kano Model &amp; Tacit Knowledge</t>
        </is>
      </c>
      <c r="E3" s="18" t="inlineStr">
        <is>
          <t>Phân loại: Dissatisfiers (Dưới ý thức/hiển nhiên), Satisfiers (Có ý thức), Delighters (Bất ngờ, chưa nhận thức).</t>
        </is>
      </c>
      <c r="F3" s="17" t="inlineStr">
        <is>
          <t>RQ6.1, RQ6.2</t>
        </is>
      </c>
      <c r="G3" s="18" t="inlineStr">
        <is>
          <t>Section I (Intro) &amp; Section II (Conceptual Framework)</t>
        </is>
      </c>
      <c r="H3" s="18" t="inlineStr">
        <is>
          <t>Văn bản chữ chỉ khai thác được Satisfiers. Dùng Prototype tương tác thực tế ("try out") giúp lôi kéo các yêu cầu hiển nhiên bị quên (Dissatisfiers) và khơi mở ý tưởng mới (Delighters).</t>
        </is>
      </c>
      <c r="I3" s="25" t="inlineStr">
        <is>
          <t xml:space="preserve">WHY?- dissatisfiers: yêu cầu bắt buộc, hiển nhiên, mặc nhiên phải có -&gt; stakeholders ko nhắc tới vì cho rằng hệ thống phải đáp ứng. nếu các yếu tố đc thực hiện hoàn hảo chúng ko tạo ra sự hài lòng tích cực mà chỉ giúp tránh sự bất mãn của ng dùng. ngc lại, nếu làm thiếu hoặc sai, stakeholders sẽ cực kỳ thất vọng. (thường chịu ảnh hưởng từ kĩ thuật observation và document-centric ).  - satisfiers: những đặc tính của hệ thống mà stakeholder nhận thức rõ ràng và chủ động yêu cầu -&gt; mức độ hài lòng của khách hàng sẽ tăng lên khi các thuộc tính được đáp ứng tốt và đầy đủ. ngược lại -&gt; nếu thiếu các yếu tố này stakeholder sẽ giảm sự hài lòng xuống và từ chối ko chấp  nhận sản phẩm. (có thể thu thập qua survey techniques). - delighters: những đặc tính mà stakeholdes ko hề biết hoặc ko kỳ vọng trước. chúng là tri thức vô thức (unconscious knowlege). stakeholders chỉ nhận ra khi trực tiếp dùng thử hệ thống hoặc khi kỹ sư yêu cầu. vì ko kỳ vọng trc nến thiếu chúng thfi stakeholders cũng ko thất vọng. nhưng nếu có mức độ hài lòng sẽ tăng lên theo cấp số nhân (phù hợp với creativity và prototype)                                </t>
        </is>
      </c>
      <c r="J3" s="3" t="n"/>
      <c r="K3" s="3" t="n"/>
      <c r="L3" s="3" t="n"/>
      <c r="M3" s="3" t="n"/>
      <c r="N3" s="3" t="n"/>
      <c r="O3" s="3" t="n"/>
      <c r="P3" s="3" t="n"/>
      <c r="Q3" s="3" t="n"/>
      <c r="R3" s="3" t="n"/>
      <c r="S3" s="3" t="n"/>
      <c r="T3" s="3" t="n"/>
      <c r="U3" s="3" t="n"/>
      <c r="V3" s="3" t="n"/>
      <c r="W3" s="3" t="n"/>
      <c r="X3" s="3" t="n"/>
      <c r="Y3" s="3" t="n"/>
    </row>
    <row r="4">
      <c r="A4" s="17" t="inlineStr">
        <is>
          <t>BK-03</t>
        </is>
      </c>
      <c r="B4" s="18" t="inlineStr">
        <is>
          <t>PohlRupp2015</t>
        </is>
      </c>
      <c r="C4" s="18" t="inlineStr">
        <is>
          <t>Sec 1.c: Elicitation Techniques</t>
        </is>
      </c>
      <c r="D4" s="17" t="inlineStr">
        <is>
          <t>Support Technique trong Elicitation</t>
        </is>
      </c>
      <c r="E4" s="18" t="inlineStr">
        <is>
          <t>Prototype là Support Technique đi kèm các kỹ thuật chính (Interview, Workshop, Scenarios) khi stakeholder chỉ có hiểu biết mơ hồ về hệ thống.</t>
        </is>
      </c>
      <c r="F4" s="17" t="inlineStr">
        <is>
          <t>RQ6.1</t>
        </is>
      </c>
      <c r="G4" s="18" t="inlineStr">
        <is>
          <t>Section II &amp; Section III (Thematic Review)</t>
        </is>
      </c>
      <c r="H4" s="18" t="inlineStr">
        <is>
          <t>Prototype không đứng độc lập mà đóng vai trò là "chất xúc tác trực quan" để đặt nghi vấn và khơi mở yêu cầu chức năng mới (GUI mockup).</t>
        </is>
      </c>
      <c r="I4" s="20" t="inlineStr">
        <is>
          <t>Ở pha Khơi gợi (Elicitation): Prototype đóng vai trò là một Kỹ thuật hỗ trợ (Support Technique). Nó không đứng một mình mà kết hợp cùng các buổi phỏng vấn (Interviews) hoặc thảo luận (Workshops) để kích thích khách hàng nảy ra ý tưởng mới (Delighters) và cụ thể hóa các yêu cầu chức năng qua GUI mockup.</t>
        </is>
      </c>
      <c r="J4" s="3" t="n"/>
      <c r="K4" s="3" t="n"/>
      <c r="L4" s="3" t="n"/>
      <c r="M4" s="3" t="n"/>
      <c r="N4" s="3" t="n"/>
      <c r="O4" s="3" t="n"/>
      <c r="P4" s="3" t="n"/>
      <c r="Q4" s="3" t="n"/>
      <c r="R4" s="3" t="n"/>
      <c r="S4" s="3" t="n"/>
      <c r="T4" s="3" t="n"/>
      <c r="U4" s="3" t="n"/>
      <c r="V4" s="3" t="n"/>
      <c r="W4" s="3" t="n"/>
      <c r="X4" s="3" t="n"/>
      <c r="Y4" s="3" t="n"/>
    </row>
    <row r="5">
      <c r="A5" s="17" t="inlineStr">
        <is>
          <t>BK-04</t>
        </is>
      </c>
      <c r="B5" s="18" t="inlineStr">
        <is>
          <t>PohlRupp2015</t>
        </is>
      </c>
      <c r="C5" s="18" t="inlineStr">
        <is>
          <t>Sec 2.a: Validation Quality Aspects</t>
        </is>
      </c>
      <c r="D5" s="17" t="inlineStr">
        <is>
          <t>3 Quality Aspects (Content, Doc, Agreement)</t>
        </is>
      </c>
      <c r="E5" s="18" t="inlineStr">
        <is>
          <t>Validation đánh giá 3 mặt: Content (đúng, đủ, nhất quán), Documentation (chuẩn cú pháp, không mơ hồ), và Agreement (đồng thuận giữa các bên).</t>
        </is>
      </c>
      <c r="F5" s="17" t="inlineStr">
        <is>
          <t>RQ6.2</t>
        </is>
      </c>
      <c r="G5" s="18" t="inlineStr">
        <is>
          <t>Section II (Background) &amp; Section IV-B</t>
        </is>
      </c>
      <c r="H5" s="18" t="inlineStr">
        <is>
          <t>Định nghĩa học thuật: "Missing" thuộc lỗi thiếu Content Completeness; "Unclear" thuộc lỗi Documentation Ambiguity và thiếu Agreement.</t>
        </is>
      </c>
      <c r="I5" s="25" t="n"/>
      <c r="J5" s="3" t="n"/>
      <c r="K5" s="3" t="n"/>
      <c r="L5" s="3" t="n"/>
      <c r="M5" s="3" t="n"/>
      <c r="N5" s="3" t="n"/>
      <c r="O5" s="3" t="n"/>
      <c r="P5" s="3" t="n"/>
      <c r="Q5" s="3" t="n"/>
      <c r="R5" s="3" t="n"/>
      <c r="S5" s="3" t="n"/>
      <c r="T5" s="3" t="n"/>
      <c r="U5" s="3" t="n"/>
      <c r="V5" s="3" t="n"/>
      <c r="W5" s="3" t="n"/>
      <c r="X5" s="3" t="n"/>
      <c r="Y5" s="3" t="n"/>
    </row>
    <row r="6">
      <c r="A6" s="17" t="inlineStr">
        <is>
          <t>BK-05</t>
        </is>
      </c>
      <c r="B6" s="18" t="inlineStr">
        <is>
          <t>PohlRupp2015</t>
        </is>
      </c>
      <c r="C6" s="18" t="inlineStr">
        <is>
          <t>Sec 2.b: Principle 4</t>
        </is>
      </c>
      <c r="D6" s="17" t="inlineStr">
        <is>
          <t>Principle 4: Adequate Change of Documentation Type</t>
        </is>
      </c>
      <c r="E6" s="18" t="inlineStr">
        <is>
          <t>Nguyên tắc đổi dạng tài liệu: Chuyển đổi yêu cầu từ văn bản trừu tượng sang mô hình/prototype trực quan để khắc phục điểm mù cố hữu của văn bản.</t>
        </is>
      </c>
      <c r="F6" s="17" t="inlineStr">
        <is>
          <t>RQ6.2</t>
        </is>
      </c>
      <c r="G6" s="18" t="inlineStr">
        <is>
          <t>Section IV-B (Comparative Analysis - Prototype vs Text)</t>
        </is>
      </c>
      <c r="H6" s="17" t="inlineStr">
        <is>
          <t>Luận cứ đắt giá nhất cho RQ6.2: Khi đổi từ chữ sang màn hình tương tác, stakeholder và BA lập tức phát hiện các điểm đứt gãy luồng và các case bị sót.</t>
        </is>
      </c>
      <c r="I6" s="20" t="inlineStr">
        <is>
          <t>Ở pha Kiểm chứng (Validation): Áp dụng theo Principle 4 (Đổi hình thái tài liệu - Adequate Change of Documentation Type) và Principle 5 (Xây dựng sớm hiện vật). Thay vì bắt khách hàng đọc lại một xấp văn bản chữ dày cộp, ta cho họ chạy thử các kịch bản (Validation Scenarios) trên Prototype để đối chiếu trực tiếp giữa hành vi hệ thống và kỳ vọng trong đầu họ (Mental Model).</t>
        </is>
      </c>
      <c r="J6" s="3" t="n"/>
      <c r="K6" s="3" t="n"/>
      <c r="L6" s="3" t="n"/>
      <c r="M6" s="3" t="n"/>
      <c r="N6" s="3" t="n"/>
      <c r="O6" s="3" t="n"/>
      <c r="P6" s="3" t="n"/>
      <c r="Q6" s="3" t="n"/>
      <c r="R6" s="3" t="n"/>
      <c r="S6" s="3" t="n"/>
      <c r="T6" s="3" t="n"/>
      <c r="U6" s="3" t="n"/>
      <c r="V6" s="3" t="n"/>
      <c r="W6" s="3" t="n"/>
      <c r="X6" s="3" t="n"/>
      <c r="Y6" s="3" t="n"/>
    </row>
    <row r="7">
      <c r="A7" s="17" t="inlineStr">
        <is>
          <t>BK-06</t>
        </is>
      </c>
      <c r="B7" s="18" t="inlineStr">
        <is>
          <t>PohlRupp2015</t>
        </is>
      </c>
      <c r="C7" s="18" t="inlineStr">
        <is>
          <t>Sec 2.b: Principle 5</t>
        </is>
      </c>
      <c r="D7" s="17" t="inlineStr">
        <is>
          <t>Principle 5: Early Artifact Construction</t>
        </is>
      </c>
      <c r="E7" s="18" t="inlineStr">
        <is>
          <t>Xây dựng sớm hiện vật phát triển (test cases, code thử nghiệm, prototype UI) để chứng minh tính khả thi và hành động được của đặc tả (actionability).</t>
        </is>
      </c>
      <c r="F7" s="17" t="inlineStr">
        <is>
          <t>RQ6.1, RQ6.2</t>
        </is>
      </c>
      <c r="G7" s="18" t="inlineStr">
        <is>
          <t>Section II &amp; Section IV-B</t>
        </is>
      </c>
      <c r="H7" s="18" t="inlineStr">
        <is>
          <t>Prototype đóng vai trò là hiện vật thực tế sớm, buộc các bên phải cụ thể hóa luồng dữ liệu thay vì nói suông.</t>
        </is>
      </c>
      <c r="I7" s="25" t="n"/>
      <c r="J7" s="3" t="n"/>
      <c r="K7" s="3" t="n"/>
      <c r="L7" s="3" t="n"/>
      <c r="M7" s="3" t="n"/>
      <c r="N7" s="3" t="n"/>
      <c r="O7" s="3" t="n"/>
      <c r="P7" s="3" t="n"/>
      <c r="Q7" s="3" t="n"/>
      <c r="R7" s="3" t="n"/>
      <c r="S7" s="3" t="n"/>
      <c r="T7" s="3" t="n"/>
      <c r="U7" s="3" t="n"/>
      <c r="V7" s="3" t="n"/>
      <c r="W7" s="3" t="n"/>
      <c r="X7" s="3" t="n"/>
      <c r="Y7" s="3" t="n"/>
      <c r="Z7" s="3" t="n"/>
    </row>
    <row r="8">
      <c r="A8" s="17" t="inlineStr">
        <is>
          <t>BK-07</t>
        </is>
      </c>
      <c r="B8" s="18" t="inlineStr">
        <is>
          <t>PohlRupp2015</t>
        </is>
      </c>
      <c r="C8" s="18" t="inlineStr">
        <is>
          <t>Sec 2.c &amp; Sec 7.5.5</t>
        </is>
      </c>
      <c r="D8" s="17" t="inlineStr">
        <is>
          <t>Prototype Taxonomy &amp; Validation Mechanism</t>
        </is>
      </c>
      <c r="E8" s="18" t="inlineStr">
        <is>
          <t>Phân loại: Throwaway (xây nhanh để chốt yêu cầu rồi bỏ) vs Evolutionary (tiến hóa dần thành code thật). Cho phép kiểm chứng kỳ vọng tinh thần (mental model).</t>
        </is>
      </c>
      <c r="F8" s="17" t="inlineStr">
        <is>
          <t>RQ6.1</t>
        </is>
      </c>
      <c r="G8" s="18" t="inlineStr">
        <is>
          <t>Section III (Thematic Review - RQ6.1)</t>
        </is>
      </c>
      <c r="H8" s="18" t="inlineStr">
        <is>
          <t>Trả lời trọn vẹn câu hỏi phân loại của mentor. Prototype xác thực xem hệ thống chạy có đúng với những gì stakeholder tưởng tượng trong đầu không.</t>
        </is>
      </c>
      <c r="I8" s="25" t="inlineStr">
        <is>
          <t>*Theo vòng đời &amp; mục đích sử dụng:
- Throwaway Prototype (Mẫu dùng một lần): Xây dựng thật nhanh, sơ sài (mockup, giấy, wireframe) chỉ nhằm mục đích làm rõ yêu cầu hoặc kiểm chứng giả thuyết, sau khi chốt xong yêu cầu thì vứt bỏ, không dùng để code sản phẩm thật.
- Evolutionary Prototype (Mẫu tiến hóa): Được xây dựng cẩn thận, có cấu trúc tốt để sau khi chốt yêu cầu thì tiếp tục mở rộng, hoàn thiện dần thành sản phẩm cuối cùng.
*Theo hình thức biểu diễn: Low-fidelity (bản vẽ giấy, sơ đồ giao diện thô) vs High-fidelity (giao diện tương tác bấm được trên máy tính).
*Theo loại yêu cầu chịu tác động: Hiệu quả vượt trội với UI/Interaction Flow và Functional Logic, nhưng rất hạn chế đối với Non-Functional Requirements (NFRs) như Security, Scalability hay Database performance.</t>
        </is>
      </c>
      <c r="J8" s="3" t="n"/>
      <c r="K8" s="3" t="n"/>
      <c r="L8" s="3" t="n"/>
      <c r="M8" s="3" t="n"/>
      <c r="N8" s="3" t="n"/>
      <c r="O8" s="3" t="n"/>
      <c r="P8" s="3" t="n"/>
      <c r="Q8" s="3" t="n"/>
      <c r="R8" s="3" t="n"/>
      <c r="S8" s="3" t="n"/>
      <c r="T8" s="3" t="n"/>
      <c r="U8" s="3" t="n"/>
      <c r="V8" s="3" t="n"/>
      <c r="W8" s="3" t="n"/>
      <c r="X8" s="3" t="n"/>
      <c r="Y8" s="3" t="n"/>
      <c r="Z8" s="3" t="n"/>
    </row>
    <row r="9">
      <c r="A9" s="17" t="inlineStr">
        <is>
          <t>BK-08</t>
        </is>
      </c>
      <c r="B9" s="18" t="inlineStr">
        <is>
          <t>PohlRupp2015</t>
        </is>
      </c>
      <c r="C9" s="18" t="inlineStr">
        <is>
          <t>Sec 7.5.5: Limitations</t>
        </is>
      </c>
      <c r="D9" s="17" t="inlineStr">
        <is>
          <t>Phạm vi tác dụng &amp; Hạn chế</t>
        </is>
      </c>
      <c r="E9" s="18" t="inlineStr">
        <is>
          <t>Prototype phát huy tối đa ở các yêu cầu tương tác (UI, Navigation, Functional logic), nhưng yếu trong việc kiểm chứng Non-Functional Requirements (NFRs như Security, Scalability).</t>
        </is>
      </c>
      <c r="F9" s="17" t="inlineStr">
        <is>
          <t>RQ6.3</t>
        </is>
      </c>
      <c r="G9" s="18" t="inlineStr">
        <is>
          <t>Section III (Thematic Review - RQ6.3)</t>
        </is>
      </c>
      <c r="H9" s="18" t="inlineStr">
        <is>
          <t>Khẳng định cho RQ6.3: Prototype không phải là "viên đạn bạc" cho mọi loại yêu cầu, vẫn cần tài liệu chữ bổ trợ cho NFRs.</t>
        </is>
      </c>
      <c r="I9" s="25" t="n"/>
      <c r="J9" s="3" t="n"/>
      <c r="K9" s="3" t="n"/>
      <c r="L9" s="3" t="n"/>
      <c r="M9" s="3" t="n"/>
      <c r="N9" s="3" t="n"/>
      <c r="O9" s="3" t="n"/>
      <c r="P9" s="3" t="n"/>
      <c r="Q9" s="3" t="n"/>
      <c r="R9" s="3" t="n"/>
      <c r="S9" s="3" t="n"/>
      <c r="T9" s="3" t="n"/>
      <c r="U9" s="3" t="n"/>
      <c r="V9" s="3" t="n"/>
      <c r="W9" s="3" t="n"/>
      <c r="X9" s="3" t="n"/>
      <c r="Y9" s="3" t="n"/>
      <c r="Z9" s="3" t="n"/>
    </row>
    <row r="10">
      <c r="A10" s="25" t="inlineStr">
        <is>
          <t>BK -09</t>
        </is>
      </c>
      <c r="B10" s="25" t="inlineStr">
        <is>
          <t>didar2018systematic</t>
        </is>
      </c>
      <c r="C10" s="25" t="inlineStr">
        <is>
          <t>Sec 3.1 &amp; Sec 4.2.1</t>
        </is>
      </c>
      <c r="D10" s="25" t="inlineStr">
        <is>
          <t>Technique Maturity &amp; Industry Evidence</t>
        </is>
      </c>
      <c r="E10" s="25" t="inlineStr">
        <is>
          <t>Phân loại độ trưởng thành: Prototyping thuộc nhóm Mature (Đã trưởng thành), có lịch sử áp dụng và kiểm chứng thực nghiệm trong công nghiệp trên 10 năm (rà soát 1993–2015). Đứng Top 3 về bằng chứng thực nghiệm hiệu quả (7 studies), chỉ sau Interviews và Scenarios.</t>
        </is>
      </c>
      <c r="F10" s="24" t="inlineStr">
        <is>
          <t>RQ6.1</t>
        </is>
      </c>
      <c r="G10" s="25" t="inlineStr">
        <is>
          <t>Section I (Intro) &amp; Section II (Background)</t>
        </is>
      </c>
      <c r="H10" s="25" t="inlineStr">
        <is>
          <t>Cung cấp bằng chứng học thuật khẳng định Prototyping là phương pháp đã được kiểm chứng vững chắc (well-established) trong công nghiệp chứ không phải thử nghiệm cục bộ; chứng minh giá trị áp dụng thực tiễn của đề tài RP6.</t>
        </is>
      </c>
      <c r="I10" s="25" t="n"/>
      <c r="J10" s="3" t="n"/>
      <c r="K10" s="3" t="n"/>
      <c r="L10" s="3" t="n"/>
      <c r="M10" s="3" t="n"/>
      <c r="N10" s="3" t="n"/>
      <c r="O10" s="3" t="n"/>
      <c r="P10" s="3" t="n"/>
      <c r="Q10" s="3" t="n"/>
      <c r="R10" s="3" t="n"/>
      <c r="S10" s="3" t="n"/>
      <c r="T10" s="3" t="n"/>
      <c r="U10" s="3" t="n"/>
      <c r="V10" s="3" t="n"/>
      <c r="W10" s="3" t="n"/>
      <c r="X10" s="3" t="n"/>
      <c r="Y10" s="3" t="n"/>
      <c r="Z10" s="3" t="n"/>
    </row>
    <row r="11">
      <c r="A11" s="29" t="inlineStr">
        <is>
          <t>BK-10</t>
        </is>
      </c>
      <c r="B11" s="25" t="inlineStr">
        <is>
          <t>didar2018systematic</t>
        </is>
      </c>
      <c r="C11" s="30" t="inlineStr">
        <is>
          <t>Sec 4.2.2 &amp; Sec 5 (Table 11, 12)</t>
        </is>
      </c>
      <c r="D11" s="25" t="inlineStr">
        <is>
          <t>Hybrid Elicitation &amp; Defect Prevention</t>
        </is>
      </c>
      <c r="E11" s="30" t="inlineStr">
        <is>
          <t>Prototyping khắc phục tình huống bên liên quan không thể diễn đạt nhu cầu bằng lời/chữ (unable to express needs). Thường triển khai theo mô hình kết hợp (Hybrid - chiếm 22%): kết hợp với Scenarios để trực quan hóa luồng công việc, ngăn ngừa lỗi yêu cầu (defect prevention) và duy trì kênh giao tiếp hai chiều.</t>
        </is>
      </c>
      <c r="F11" s="30" t="inlineStr">
        <is>
          <t>RQ6.1, RQ6.2</t>
        </is>
      </c>
      <c r="G11" s="30" t="inlineStr">
        <is>
          <t>Section III (Thematic Review - RQ6.1) &amp; Section IV-A</t>
        </is>
      </c>
      <c r="H11" s="30" t="inlineStr">
        <is>
          <t>Luận điểm then chốt: Prototyping hiếm khi dùng đơn độc mà là chất xúc tác trực quan kết hợp với kịch bản (Scenarios) để lôi kéo các yêu cầu bị sót mà phỏng vấn văn bản truyền thống bỏ lỡ.</t>
        </is>
      </c>
      <c r="I11" s="31" t="inlineStr">
        <is>
          <t>WHY? áp dụng khi độ ko chắc chắn về yêu cầu cao (high uncertainty). Mô hình Hybrid (kết hợp): Rất ít khi đứng riêng lẻ (hơn 22% nghiên cứu dùng từ 2 kỹ thuật trở lên).
Kết hợp chủ đạo:
Prototyping + Scenarios (Kịch bản): Trực quan hóa công việc người dùng, giúp ngăn ngừa lỗi yêu cầu (defect prevention) và thu thập yêu cầu chính xác, đầy đủ.
Prototyping + Ethnography (Quan sát): Khai thác và phát hiện các yêu cầu mới phát sinh từ thực tế làm việc.
Tạo kênh giao tiếp hai chiều (Bidirectional communication): Giúp BA/analyst và stakeholder phản hồi liên tục, tránh hiểu sai lệch.</t>
        </is>
      </c>
      <c r="J11" s="3" t="n"/>
      <c r="K11" s="3" t="n"/>
      <c r="L11" s="3" t="n"/>
      <c r="M11" s="3" t="n"/>
      <c r="N11" s="3" t="n"/>
      <c r="O11" s="3" t="n"/>
      <c r="P11" s="3" t="n"/>
      <c r="Q11" s="3" t="n"/>
      <c r="R11" s="3" t="n"/>
      <c r="S11" s="3" t="n"/>
      <c r="T11" s="3" t="n"/>
      <c r="U11" s="3" t="n"/>
      <c r="V11" s="3" t="n"/>
      <c r="W11" s="3" t="n"/>
      <c r="X11" s="3" t="n"/>
      <c r="Y11" s="3" t="n"/>
      <c r="Z11" s="3" t="n"/>
    </row>
    <row r="12">
      <c r="A12" s="25" t="inlineStr">
        <is>
          <t>BK-11</t>
        </is>
      </c>
      <c r="B12" s="25" t="inlineStr">
        <is>
          <t>didar2018systematic</t>
        </is>
      </c>
      <c r="C12" s="25" t="inlineStr">
        <is>
          <t>Sec 4.2.1 &amp; Sec 4.2.2</t>
        </is>
      </c>
      <c r="D12" s="25" t="inlineStr">
        <is>
          <t>Prototype Taxonomy &amp; Cost Limitations</t>
        </is>
      </c>
      <c r="E12" s="30" t="inlineStr">
        <is>
          <t>Phân loại: Dải độ trung thực từ bản vẽ phác thảo giấy (paper sketches - low-fi) đến phiên bản phần mềm chạy thử (beta software - high-fi); phân theo cách tiếp cận: Rapid prototyping (bắt trọn chi tiết giao diện/ngoại lệ) vs Evolutionary prototyping. Tác động mạnh nhất lên GUI/UX và system interaction. Hạn chế lớn nhất: Chi phí cao (Costly).</t>
        </is>
      </c>
      <c r="F12" s="30" t="inlineStr">
        <is>
          <t>RQ6.1, RQ6.3</t>
        </is>
      </c>
      <c r="G12" s="30" t="inlineStr">
        <is>
          <t>Section III (Thematic Review - RQ6.3) &amp; Section V (Research Gap)</t>
        </is>
      </c>
      <c r="H12" s="30" t="inlineStr">
        <is>
          <t>Trả lời trực tiếp cho RQ6.3 và Research Gap: Prototyping tối ưu cho giao diện và luồng tương tác nhưng có rào cản lớn về chi phí/nguồn lực, mở ra hướng nghiên cứu tối ưu hóa chi phí (hoặc dùng Scenarios thay thế khi eo hẹp ngân sách).</t>
        </is>
      </c>
      <c r="I12" s="31" t="inlineStr">
        <is>
          <t>Phân loại:
Theo độ trung thực (Fidelity): Từ phác thảo giấy sơ sài (paper sketches / low-fi) đến phiên bản phần mềm chạy thử (beta versions / high-fi).
Theo vòng đời: Rapid prototyping (làm nhanh để bắt trọn chi tiết giao diện và ngoại lệ) vs Evolutionary prototyping (nâng cấp dần khi yêu cầu đã rõ để tiết kiệm thời gian).
Loại yêu cầu hiệu quả nhất: Yêu cầu về Giao diện người dùng và Luồng tương tác hệ thống (GUI / UX details &amp; system interactions).
Hạn chế lớn nhất: Chi phí cao (Costly). Khi dự án cạn ngân sách hoặc thiếu thời gian làm prototype, người ta thường chuyển sang dùng Scenarios (kịch bản chữ/hình ảnh tĩnh) để thay thế.</t>
        </is>
      </c>
      <c r="J12" s="3" t="n"/>
      <c r="K12" s="3" t="n"/>
      <c r="L12" s="3" t="n"/>
      <c r="M12" s="3" t="n"/>
      <c r="N12" s="3" t="n"/>
      <c r="O12" s="3" t="n"/>
      <c r="P12" s="3" t="n"/>
      <c r="Q12" s="3" t="n"/>
      <c r="R12" s="3" t="n"/>
      <c r="S12" s="3" t="n"/>
      <c r="T12" s="3" t="n"/>
      <c r="U12" s="3" t="n"/>
      <c r="V12" s="3" t="n"/>
      <c r="W12" s="3" t="n"/>
      <c r="X12" s="3" t="n"/>
      <c r="Y12" s="3" t="n"/>
      <c r="Z12" s="3" t="n"/>
    </row>
    <row r="13">
      <c r="A13" s="29" t="n"/>
      <c r="B13" s="30" t="n"/>
      <c r="C13" s="30" t="n"/>
      <c r="D13" s="30" t="n"/>
      <c r="E13" s="30" t="n"/>
      <c r="F13" s="30" t="n"/>
      <c r="G13" s="30" t="n"/>
      <c r="H13" s="30" t="n"/>
      <c r="I13" s="31" t="n"/>
      <c r="J13" s="3" t="n"/>
      <c r="K13" s="3" t="n"/>
      <c r="L13" s="3" t="n"/>
      <c r="M13" s="3" t="n"/>
      <c r="N13" s="3" t="n"/>
      <c r="O13" s="3" t="n"/>
      <c r="P13" s="3" t="n"/>
      <c r="Q13" s="3" t="n"/>
      <c r="R13" s="3" t="n"/>
      <c r="S13" s="3" t="n"/>
      <c r="T13" s="3" t="n"/>
      <c r="U13" s="3" t="n"/>
      <c r="V13" s="3" t="n"/>
      <c r="W13" s="3" t="n"/>
      <c r="X13" s="3" t="n"/>
      <c r="Y13" s="3" t="n"/>
      <c r="Z13" s="3" t="n"/>
    </row>
    <row r="14">
      <c r="A14" s="29" t="n"/>
      <c r="B14" s="30" t="n"/>
      <c r="C14" s="30" t="n"/>
      <c r="D14" s="30" t="n"/>
      <c r="E14" s="30" t="n"/>
      <c r="F14" s="30" t="n"/>
      <c r="G14" s="30" t="n"/>
      <c r="H14" s="30" t="n"/>
      <c r="I14" s="31" t="n"/>
      <c r="J14" s="3" t="n"/>
      <c r="K14" s="3" t="n"/>
      <c r="L14" s="3" t="n"/>
      <c r="M14" s="3" t="n"/>
      <c r="N14" s="3" t="n"/>
      <c r="O14" s="3" t="n"/>
      <c r="P14" s="3" t="n"/>
      <c r="Q14" s="3" t="n"/>
      <c r="R14" s="3" t="n"/>
      <c r="S14" s="3" t="n"/>
      <c r="T14" s="3" t="n"/>
      <c r="U14" s="3" t="n"/>
      <c r="V14" s="3" t="n"/>
      <c r="W14" s="3" t="n"/>
      <c r="X14" s="3" t="n"/>
      <c r="Y14" s="3" t="n"/>
      <c r="Z14" s="3" t="n"/>
    </row>
    <row r="15">
      <c r="A15" s="29" t="n"/>
      <c r="B15" s="30" t="n"/>
      <c r="C15" s="30" t="n"/>
      <c r="D15" s="30" t="n"/>
      <c r="E15" s="30" t="n"/>
      <c r="F15" s="30" t="n"/>
      <c r="G15" s="30" t="n"/>
      <c r="H15" s="30" t="n"/>
      <c r="I15" s="31" t="n"/>
      <c r="J15" s="3" t="n"/>
      <c r="K15" s="3" t="n"/>
      <c r="L15" s="3" t="n"/>
      <c r="M15" s="3" t="n"/>
      <c r="N15" s="3" t="n"/>
      <c r="O15" s="3" t="n"/>
      <c r="P15" s="3" t="n"/>
      <c r="Q15" s="3" t="n"/>
      <c r="R15" s="3" t="n"/>
      <c r="S15" s="3" t="n"/>
      <c r="T15" s="3" t="n"/>
      <c r="U15" s="3" t="n"/>
      <c r="V15" s="3" t="n"/>
      <c r="W15" s="3" t="n"/>
      <c r="X15" s="3" t="n"/>
      <c r="Y15" s="3" t="n"/>
      <c r="Z15" s="3" t="n"/>
    </row>
    <row r="16">
      <c r="A16" s="32" t="n"/>
      <c r="B16" s="33" t="n"/>
      <c r="C16" s="33" t="n"/>
      <c r="D16" s="33" t="n"/>
      <c r="E16" s="33" t="n"/>
      <c r="F16" s="33" t="n"/>
      <c r="G16" s="33" t="n"/>
      <c r="H16" s="33" t="n"/>
      <c r="I16" s="34" t="n"/>
      <c r="J16" s="3" t="n"/>
      <c r="K16" s="3" t="n"/>
      <c r="L16" s="3" t="n"/>
      <c r="M16" s="3" t="n"/>
      <c r="N16" s="3" t="n"/>
      <c r="O16" s="3" t="n"/>
      <c r="P16" s="3" t="n"/>
      <c r="Q16" s="3" t="n"/>
      <c r="R16" s="3" t="n"/>
      <c r="S16" s="3" t="n"/>
      <c r="T16" s="3" t="n"/>
      <c r="U16" s="3" t="n"/>
      <c r="V16" s="3" t="n"/>
      <c r="W16" s="3" t="n"/>
      <c r="X16" s="3" t="n"/>
      <c r="Y16" s="3" t="n"/>
      <c r="Z16" s="3" t="n"/>
    </row>
    <row r="17">
      <c r="A17" s="35" t="n"/>
      <c r="B17" s="36" t="n"/>
      <c r="C17" s="36" t="n"/>
      <c r="D17" s="36" t="n"/>
      <c r="E17" s="36" t="n"/>
      <c r="F17" s="36" t="n"/>
      <c r="G17" s="36" t="n"/>
      <c r="H17" s="36" t="n"/>
      <c r="I17" s="37"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row r="1001">
      <c r="A1001" s="3" t="n"/>
      <c r="B1001" s="3" t="n"/>
      <c r="C1001" s="3" t="n"/>
      <c r="D1001" s="3" t="n"/>
      <c r="E1001" s="3" t="n"/>
      <c r="F1001" s="3" t="n"/>
      <c r="G1001" s="3" t="n"/>
      <c r="H1001" s="3" t="n"/>
      <c r="I1001" s="3" t="n"/>
      <c r="J1001" s="3" t="n"/>
      <c r="K1001" s="3" t="n"/>
      <c r="L1001" s="3" t="n"/>
      <c r="M1001" s="3" t="n"/>
      <c r="N1001" s="3" t="n"/>
      <c r="O1001" s="3" t="n"/>
      <c r="P1001" s="3" t="n"/>
      <c r="Q1001" s="3" t="n"/>
      <c r="R1001" s="3" t="n"/>
      <c r="S1001" s="3" t="n"/>
      <c r="T1001" s="3" t="n"/>
      <c r="U1001" s="3" t="n"/>
      <c r="V1001" s="3" t="n"/>
      <c r="W1001" s="3" t="n"/>
      <c r="X1001" s="3" t="n"/>
      <c r="Y1001" s="3" t="n"/>
      <c r="Z1001" s="3" t="n"/>
    </row>
    <row r="1002">
      <c r="A1002" s="3" t="n"/>
      <c r="B1002" s="3" t="n"/>
      <c r="C1002" s="3" t="n"/>
      <c r="D1002" s="3" t="n"/>
      <c r="E1002" s="3" t="n"/>
      <c r="F1002" s="3" t="n"/>
      <c r="G1002" s="3" t="n"/>
      <c r="H1002" s="3" t="n"/>
      <c r="I1002" s="3" t="n"/>
      <c r="J1002" s="3" t="n"/>
      <c r="K1002" s="3" t="n"/>
      <c r="L1002" s="3" t="n"/>
      <c r="M1002" s="3" t="n"/>
      <c r="N1002" s="3" t="n"/>
      <c r="O1002" s="3" t="n"/>
      <c r="P1002" s="3" t="n"/>
      <c r="Q1002" s="3" t="n"/>
      <c r="R1002" s="3" t="n"/>
      <c r="S1002" s="3" t="n"/>
      <c r="T1002" s="3" t="n"/>
      <c r="U1002" s="3" t="n"/>
      <c r="V1002" s="3" t="n"/>
      <c r="W1002" s="3" t="n"/>
      <c r="X1002" s="3" t="n"/>
      <c r="Y1002" s="3" t="n"/>
      <c r="Z1002" s="3" t="n"/>
    </row>
    <row r="1003">
      <c r="A1003" s="3" t="n"/>
      <c r="B1003" s="3" t="n"/>
      <c r="C1003" s="3" t="n"/>
      <c r="D1003" s="3" t="n"/>
      <c r="E1003" s="3" t="n"/>
      <c r="F1003" s="3" t="n"/>
      <c r="G1003" s="3" t="n"/>
      <c r="H1003" s="3" t="n"/>
      <c r="I1003" s="3" t="n"/>
      <c r="J1003" s="3" t="n"/>
      <c r="K1003" s="3" t="n"/>
      <c r="L1003" s="3" t="n"/>
      <c r="M1003" s="3" t="n"/>
      <c r="N1003" s="3" t="n"/>
      <c r="O1003" s="3" t="n"/>
      <c r="P1003" s="3" t="n"/>
      <c r="Q1003" s="3" t="n"/>
      <c r="R1003" s="3" t="n"/>
      <c r="S1003" s="3" t="n"/>
      <c r="T1003" s="3" t="n"/>
      <c r="U1003" s="3" t="n"/>
      <c r="V1003" s="3" t="n"/>
      <c r="W1003" s="3" t="n"/>
      <c r="X1003" s="3" t="n"/>
      <c r="Y1003" s="3" t="n"/>
      <c r="Z1003" s="3" t="n"/>
    </row>
    <row r="1004">
      <c r="A1004" s="3" t="n"/>
      <c r="B1004" s="3" t="n"/>
      <c r="C1004" s="3" t="n"/>
      <c r="D1004" s="3" t="n"/>
      <c r="E1004" s="3" t="n"/>
      <c r="F1004" s="3" t="n"/>
      <c r="G1004" s="3" t="n"/>
      <c r="H1004" s="3" t="n"/>
      <c r="I1004" s="3" t="n"/>
      <c r="J1004" s="3" t="n"/>
      <c r="K1004" s="3" t="n"/>
      <c r="L1004" s="3" t="n"/>
      <c r="M1004" s="3" t="n"/>
      <c r="N1004" s="3" t="n"/>
      <c r="O1004" s="3" t="n"/>
      <c r="P1004" s="3" t="n"/>
      <c r="Q1004" s="3" t="n"/>
      <c r="R1004" s="3" t="n"/>
      <c r="S1004" s="3" t="n"/>
      <c r="T1004" s="3" t="n"/>
      <c r="U1004" s="3" t="n"/>
      <c r="V1004" s="3" t="n"/>
      <c r="W1004" s="3" t="n"/>
      <c r="X1004" s="3" t="n"/>
      <c r="Y1004" s="3" t="n"/>
      <c r="Z1004" s="3" t="n"/>
    </row>
    <row r="1005">
      <c r="A1005" s="3" t="n"/>
      <c r="B1005" s="3" t="n"/>
      <c r="C1005" s="3" t="n"/>
      <c r="D1005" s="3" t="n"/>
      <c r="E1005" s="3" t="n"/>
      <c r="F1005" s="3" t="n"/>
      <c r="G1005" s="3" t="n"/>
      <c r="H1005" s="3" t="n"/>
      <c r="I1005" s="3" t="n"/>
      <c r="J1005" s="3" t="n"/>
      <c r="K1005" s="3" t="n"/>
      <c r="L1005" s="3" t="n"/>
      <c r="M1005" s="3" t="n"/>
      <c r="N1005" s="3" t="n"/>
      <c r="O1005" s="3" t="n"/>
      <c r="P1005" s="3" t="n"/>
      <c r="Q1005" s="3" t="n"/>
      <c r="R1005" s="3" t="n"/>
      <c r="S1005" s="3" t="n"/>
      <c r="T1005" s="3" t="n"/>
      <c r="U1005" s="3" t="n"/>
      <c r="V1005" s="3" t="n"/>
      <c r="W1005" s="3" t="n"/>
      <c r="X1005" s="3" t="n"/>
      <c r="Y1005" s="3" t="n"/>
      <c r="Z1005" s="3"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2026-10-16T03:17:59Z</dcterms:created>
  <dcterms:modified xmlns:dcterms="http://purl.org/dc/terms/" xmlns:xsi="http://www.w3.org/2001/XMLSchema-instance" xsi:type="dcterms:W3CDTF">2026-10-19T06:39:14Z</dcterms:modified>
</cp:coreProperties>
</file>