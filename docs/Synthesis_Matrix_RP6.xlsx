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inlineStr">
        <is>
          <t>uv2023empirical</t>
        </is>
      </c>
      <c r="C5" s="18" t="inlineStr">
        <is>
          <t>An empirical experiment of a usability requirements elicitation method to design GUIs based on interviews</t>
        </is>
      </c>
      <c r="D5" s="18" t="inlineStr">
        <is>
          <t>E. Ormeño, J. I. Panach, and O. Pastor (2023)</t>
        </is>
      </c>
      <c r="E5" s="18" t="inlineStr">
        <is>
          <t>Information and Software Technology (Elsevier), Vol. 157</t>
        </is>
      </c>
      <c r="F5" s="18" t="inlineStr">
        <is>
          <t>Downloaded (06_uv2023empirical_GUI_Usability_Elicitation.pdf)</t>
        </is>
      </c>
      <c r="G5" s="18" t="inlineStr">
        <is>
          <t>https://doi.org/10.1016/j.infsof.2023.107147</t>
        </is>
      </c>
      <c r="H5" s="18" t="inlineStr">
        <is>
          <t>Đề xuất phương pháp UREM kết hợp giữa tạo mẫu GUI trên giấy và Cây quyết định (Decision Tree) dựa trên hướng dẫn Usability để dẫn dắt phỏng vấn khơi gợi yêu cầu. Thiết kế Within-subjects đo lường lặp lại qua 2 lần lặp (48 sinh viên CS, 24 cặp) trên 2 hệ thống Mobile Health và Mobile Banking.</t>
        </is>
      </c>
      <c r="I5" s="18" t="inlineStr">
        <is>
          <t>UREM vượt trội so với phỏng vấn phi cấu trúc thông thường về hiệu quả khơi gợi yêu cầu khả dụng (p = 0.000, partial eta^2 = 0.274, statistical power = 0.978) và mức độ tuân thủ hướng dẫn thiết kế (p = 0.000, partial eta^2 = 0.571, power = 1.000). Về mặt hiệu suất thời gian, UREM không làm tốn thêm thời gian của Analyst (p = 0.220).</t>
        </is>
      </c>
      <c r="J5" s="18" t="inlineStr">
        <is>
          <t>Làm rõ xuất sắc nhóm yêu cầu Usability/UI và loại bỏ triệt để các lỗi thiếu sót hiển thị: thông báo trường bắt buộc (dấu * đỏ), hộp thoại báo lỗi (modal error dialogs), menu thả xuống (dropdowns), văn bản thay thế (alt-text) và icon trợ giúp đa phương thức.</t>
        </is>
      </c>
      <c r="K5" s="18" t="inlineStr">
        <is>
          <t>Thực nghiệm kiểm soát chặt chẽ 24 cặp trên 2 ứng dụng di động. Kết quả khẳng định GUI mockup có cấu trúc giúp chuyển đổi các lựa chọn khả dụng ngầm ẩn thành thiết kế cụ thể, kiểm chứng được với độ tin cậy tuyệt đối (power 0.978 và 1.000).</t>
        </is>
      </c>
      <c r="L5" s="18" t="inlineStr">
        <is>
          <t>Đối tượng tham gia là sinh viên và học viên thạc sĩ (cần mở rộng sang doanh nghiệp); hiệu suất thời gian có power thấp (0.230) và phụ thuộc vào bài toán; tạo mẫu có cấu trúc giúp làm rõ và vận hành hóa yêu cầu Usability/NFR nhưng không đảm bảo 100% hoàn hảo tuyệt đối.</t>
        </is>
      </c>
      <c r="M5" s="14" t="inlineStr">
        <is>
          <t>Tại sao lại cần Prototype kết hợp Cây quyết định? (Why?):
- Bối cảnh &amp; Vấn đề: Phỏng vấn phi cấu trúc truyền thống thường bỏ sót các yêu cầu về Usability (tính khả dụng) và chi tiết giao diện; kỹ sư RE và khách hàng thiếu ngôn ngữ chung để hình dung hành vi tương tác.
- Cơ chế: Phương pháp UREM kết hợp Low-fidelity GUI Paper Mockup và Cây quyết định (Decision Tree dựa trên hướng dẫn công thái học). Mockup trực quan hóa không gian tương tác, còn Cây quyết định dẫn dắt phân tích viên đặt đúng câu hỏi logic, ngăn ngừa bỏ sót các thuộc tính giao diện then chốt.</t>
        </is>
      </c>
      <c r="N5" s="14" t="inlineStr">
        <is>
          <t>Người ta áp dụng sao? (How?):
- Thiết kế thực nghiệm: Thực nghiệm trong nhóm (Within-subjects design) gồm 48 người tham gia (24 cặp gồm 1 phân tích viên và 1 khách hàng) qua 2 giai đoạn (Phase 1 &amp; Phase 2) trên 2 ứng dụng di động thực tế (Mobile Health và Mobile Banking).
- Quy trình: Mỗi phiên phỏng vấn kéo dài 40 phút. Nhóm thực nghiệm áp dụng UREM: vừa vẽ phác thảo màn hình (GUI mockup) vừa tra cứu cây quyết định để hỏi khách hàng về phản hồi hệ thống, ràng buộc dữ liệu. Nhóm đối chứng dùng phỏng vấn truyền thống không có mockup/decision tree. Phân tích thống kê bằng mô hình GLM Repeated Measures.</t>
        </is>
      </c>
      <c r="O5" s="14" t="inlineStr">
        <is>
          <t>Người ta chia thành mấy loại? (Taxonomy &amp; RQ6.3):
- Phân loại so sánh: UREM (GUI Paper Mockup + Usability Decision Tree) vs Phỏng vấn phi cấu trúc thông thường.
- Loại yêu cầu làm rõ tốt nhất (RQ6.3):
  + Usability &amp; GUI Requirements: Hiệu quả khơi gợi vượt trội có ý nghĩa thống kê cao ($p = 0.000$, effect size $\eta^2 = 0.274$, Statistical Power = 0.978), thu thập nhiều hơn 28.5% yêu cầu tính khả dụng.
  + Tuân thủ nguyên tắc Usability (Guideline Adherence): Vượt trội áp đảo ($p = 0.000$, $\eta^2 = 0.571$, Power = 1.000).
  + Các yêu cầu/thiếu sót cụ thể được làm rõ: Dấu hoa thị `*` cho trường bắt buộc (mandatory fields), hộp thoại thông báo lỗi (modal error dialogs), danh sách chọn (dropdown) tránh lỗi chính tả, văn bản hướng dẫn/tooltip (help-icon).
  + Hiệu suất thời gian (Efficiency): Không có khác biệt thống kê ($p = 0.220$), chứng minh chất lượng tăng vọt mà không làm phát sinh lãng phí thời gian.
- Hạn chế: Thực hiện trên sinh viên và học viên cao học, cần mở rộng sang môi trường doanh nghiệp thực tế.</t>
        </is>
      </c>
      <c r="P5" s="14" t="n"/>
      <c r="Q5" s="3" t="n"/>
      <c r="R5" s="3" t="n"/>
      <c r="S5" s="3" t="n"/>
      <c r="T5" s="3" t="n"/>
      <c r="U5" s="3" t="n"/>
      <c r="V5" s="3" t="n"/>
      <c r="W5" s="3" t="n"/>
      <c r="X5" s="3" t="n"/>
      <c r="Y5" s="3" t="n"/>
      <c r="Z5" s="3" t="n"/>
    </row>
    <row r="6" ht="22.5" customHeight="1" s="38">
      <c r="A6" s="18">
        <f>A5+1</f>
        <v/>
      </c>
      <c r="B6" s="18" t="inlineStr">
        <is>
          <t>rej2022evolve</t>
        </is>
      </c>
      <c r="C6" s="18" t="inlineStr">
        <is>
          <t>How do requirements evolve during elicitation? An empirical study combining interviews and app store analysis</t>
        </is>
      </c>
      <c r="D6" s="18" t="inlineStr">
        <is>
          <t>A. Ferrari, P. Spoletini, and S. Debnath (2022)</t>
        </is>
      </c>
      <c r="E6" s="18" t="inlineStr">
        <is>
          <t>Requirements Engineering (Springer), Vol. 27(4), pp. 489–519</t>
        </is>
      </c>
      <c r="F6" s="18" t="inlineStr">
        <is>
          <t>Downloaded (07_rej2022evolve_Requirements_Evolution.pdf)</t>
        </is>
      </c>
      <c r="G6" s="18" t="inlineStr">
        <is>
          <t>https://doi.org/10.1007/s00766-022-00383-7</t>
        </is>
      </c>
      <c r="H6" s="18" t="inlineStr">
        <is>
          <t>Khảo sát sự tiến hóa yêu cầu (Requirements Evolution) và cơ chế "đồng kiến tạo" (co-creation). So sánh giữa phỏng vấn truyền thống và tương tác với mẫu tham chiếu trực quan (app store / reference prototypes) để hoàn thiện User Stories.</t>
        </is>
      </c>
      <c r="I6" s="18" t="inlineStr">
        <is>
          <t>Bằng chứng thực nghiệm đối đầu: Phỏng vấn bằng lời chỉ giữ lại 30–38% ý tưởng gốc và bỏ sót nhiều yêu cầu. Khi tương tác trực tiếp với sản phẩm/mẫu trực quan, nhà phân tích phát hiện và bổ sung thêm 42% yêu cầu bị thiếu (missing requirements).</t>
        </is>
      </c>
      <c r="J6" s="18" t="inlineStr">
        <is>
          <t>Phỏng vấn bằng lời thuần túy chỉ tập trung vào chức năng nghiệp vụ nội bộ. Tương tác với mẫu thực tế làm tăng vọt 45% sự chú ý tới tính khả dụng (Usability), đồng thời làm rõ các yêu cầu phi chức năng (NFRs) cốt lõi như Bảo mật (Security), Quyền riêng tư (Privacy), và Thanh toán (Payment).</t>
        </is>
      </c>
      <c r="K6" s="18" t="inlineStr">
        <is>
          <t>Thực nghiệm kiểm soát 2 giai đoạn trên 30 nhà phân tích (analysts). Kiểm định thống kê 95% tin cậy (Shapiro-Wilk, One-sample t-test &amp; Percentile method): Conservation rate chỉ đạt 30–38%, 21% chủ đề hoàn toàn mới xuất hiện; tương tác mẫu tham chiếu giúp bổ sung tới 42% yêu cầu bị thiếu, mức độ quan tâm Usability tăng 45%.</t>
        </is>
      </c>
      <c r="L6" s="18" t="inlineStr">
        <is>
          <t>Giai đoạn 2 chỉ cho phép thêm mới (extension) mà chưa đo lường chỉnh sửa/xóa (edit/deletion); đối tượng thực nghiệm là sinh viên phần mềm đóng vai analyst với một khách hàng giả định; cần mở rộng bối cảnh ngoài ứng dụng di động.</t>
        </is>
      </c>
      <c r="M6" s="14" t="inlineStr">
        <is>
          <t>Tại sao lại cần Prototype / Mẫu tham chiếu tương tác? (Why?):
- Bối cảnh &amp; Vấn đề: Ảo tưởng về "thu thập yêu cầu" (Elicitation Fallacy) xem yêu cầu như có sẵn trong đầu khách hàng. Thực tế, phỏng vấn bằng lời thuần túy khiến hơn 60% yêu cầu bị biến dạng và bỏ sót nghiêm trọng các khía cạnh trải nghiệm thực tế.
- Cơ chế: Yêu cầu là quá trình "đồng kiến tạo" (co-creation). Tương tác với mẫu tham chiếu trực quan (reference prototypes / app store exploration) đóng vai trò như "chất xúc tác nhận thức" (cognitive catalyst), kích hoạt tri thức ẩn của cả khách hàng lẫn người phân tích để nhận diện các thiếu sót.</t>
        </is>
      </c>
      <c r="N6" s="14" t="inlineStr">
        <is>
          <t>Người ta áp dụng sao? (How?):
- Thiết kế thực nghiệm: Nghiên cứu thực nghiệm 2 giai đoạn (Phase I: Phỏng vấn tương tác 2 vòng với khách hàng; Phase II: Khám phá và tương tác trực tiếp 5 ứng dụng tham chiếu trên App Store/Google Play) với 30 nhà phân tích trên bài toán Quản lý trại hè dã ngoại.
- Quy trình: Mỗi analyst phỏng vấn khách hàng để sinh 50-60 User Stories ban đầu, sau đó tải và trải nghiệm các app thực tế, đọc review người dùng để viết bổ sung 20 User Stories. Các tác giả tiến hành mã hóa và phân tích định lượng (t-test, percentile method, 95% CI) về độ bảo tồn và mức độ tiến hóa yêu cầu.</t>
        </is>
      </c>
      <c r="O6" s="14" t="inlineStr">
        <is>
          <t>Người ta chia thành mấy loại? (Taxonomy &amp; RQ6.3):
- Phân loại so sánh: Phỏng vấn bằng lời truyền thống (Interview-based) vs Khám phá mẫu tham chiếu tương tác (App Store-inspired Prototyping).
- Phân loại yêu cầu &amp; Tỷ lệ thay đổi:
  + Functional Requirements: Chiếm đa số ở phỏng vấn ban đầu nhưng chỉ giữ lại 30-38% nguyên bản, bổ sung thêm 42% yêu cầu chức năng mới sau khi tương tác mẫu thử.
  + Usability Requirements: Tăng vọt thêm 45% sau khi tương tác với sản phẩm trực quan, chứng minh prototype là công cụ hiệu quả nhất để khai phá yêu cầu tính khả dụng.
  + Non-Functional Requirements (NFRs): Các nhóm NFRs ẩn như Security, Privacy (theo dõi vị trí trẻ em), và Payment chỉ xuất hiện và được hoàn thiện khi người phân tích quan sát sản phẩm thực tế.
- Hạn chế: Thử nghiệm trên bài toán mobile app với sinh viên kỹ thuật; chưa đo lường thao tác xóa yêu cầu sai lệch ở giai đoạn 2.</t>
        </is>
      </c>
      <c r="P6" s="14" t="inlineStr">
        <is>
          <t>https://doi.org/10.1007/s00766-022-00383-7</t>
        </is>
      </c>
      <c r="Q6" s="3" t="n"/>
      <c r="R6" s="3" t="n"/>
      <c r="S6" s="3" t="n"/>
      <c r="T6" s="3" t="n"/>
      <c r="U6" s="3" t="n"/>
      <c r="V6" s="3" t="n"/>
      <c r="W6" s="3" t="n"/>
      <c r="X6" s="3" t="n"/>
      <c r="Y6" s="3" t="n"/>
      <c r="Z6" s="3" t="n"/>
    </row>
    <row r="7" ht="22.5" customHeight="1" s="38">
      <c r="A7" s="18">
        <f>A6+1</f>
        <v/>
      </c>
      <c r="B7" s="18" t="inlineStr">
        <is>
          <t>jserd2019protopersona</t>
        </is>
      </c>
      <c r="C7" s="18" t="inlineStr">
        <is>
          <t>On the contributions of non-technical stakeholders to describing UX requirements by using proto-persona+</t>
        </is>
      </c>
      <c r="D7" s="18" t="inlineStr">
        <is>
          <t>E. Pinheiro, L. Lopes, T. Conte, and L. Zaina (2019)</t>
        </is>
      </c>
      <c r="E7" s="18" t="inlineStr">
        <is>
          <t>Journal of Software Engineering Research and Development (JSERD), Vol. 7, No. 8</t>
        </is>
      </c>
      <c r="F7" s="18" t="inlineStr">
        <is>
          <t>Downloaded (08_jserd2019protopersona_UX_Requirements.pdf)</t>
        </is>
      </c>
      <c r="G7" s="18" t="inlineStr">
        <is>
          <t>https://doi.org/10.5753/jserd.2019.155</t>
        </is>
      </c>
      <c r="H7" s="18" t="inlineStr">
        <is>
          <t>Kết hợp kỹ thuật Proto-persona+ (4 góc phần tư) với phác thảo bản vẽ trên giấy (Paper sketches / Storyboards) và kịch bản để tạo điều kiện cho các bên liên quan phi kỹ thuật (Non-technical stakeholders) tham gia chủ động vào việc khơi gợi và định hình prototype giao diện.</t>
        </is>
      </c>
      <c r="I7" s="18" t="inlineStr">
        <is>
          <t>Bằng chứng thực nghiệm 2 vòng: Văn bản đặc tả truyền thống và tư duy kỹ sư chỉ tập trung vào việc tránh lỗi kỹ thuật; việc kết hợp Proto-persona+ và phác thảo trực quan giúp khơi gợi trọn vẹn các yêu cầu UX bị che khuất trong văn bản, hỗ trợ 36 lập trình viên hiện thực hóa giải pháp chính xác.</t>
        </is>
      </c>
      <c r="J7" s="18" t="inlineStr">
        <is>
          <t>Làm rõ xuất sắc nhóm Yêu cầu Trải nghiệm người dùng (UX Requirements) và Khả năng tiếp cận (Accessibility). Nhóm phi kỹ thuật (các nhà sư phạm) phát hiện ra các yêu cầu cảm xúc (học tập phải vui vẻ, tạo động lực) và hỗ trợ người dùng có nhu cầu đặc biệt (khiếm thị, giảm chú ý ADHD) mà kỹ sư phần mềm hoàn toàn bỏ sót.</t>
        </is>
      </c>
      <c r="K7" s="18" t="inlineStr">
        <is>
          <t>Nghiên cứu thực nghiệm 2 vòng: Vòng 1 gồm 8 nhà sư phạm và 5 kỹ sư xây dựng proto-persona+; Vòng 2 gồm 36 lập trình viên (18 cặp) tạo storyboard/prototype từ các artifact này. Đánh giá TAM cho thấy mức độ chấp nhận cao (100% đánh giá góc mục tiêu là Rất quan trọng). Góc nhìn phi kỹ thuật bổ sung các chiều UX về kích thích và giá trị học tập.</t>
        </is>
      </c>
      <c r="L7" s="18" t="inlineStr">
        <is>
          <t>Cỡ mẫu chuyên gia ở Vòng 1 còn khiêm tốn (13 người); tập trung vào miền ứng dụng e-learning trên di động; dữ liệu định lượng chủ yếu minh họa cho phân tích định tính (open coding).</t>
        </is>
      </c>
      <c r="M7" s="14" t="inlineStr">
        <is>
          <t>Tại sao lại cần Proto-persona+ &amp; Paper Prototyping? (Why?):
- Bối cảnh &amp; Vấn đề: Khoảng cách giao tiếp và thấu cảm giữa kỹ sư phần mềm (tư duy kỹ thuật, logic hệ thống) và người dùng cuối. Tài liệu văn bản (SRS, User Stories) quá trừu tượng khiến các bên liên quan phi kỹ thuật (Non-technical stakeholders) gặp khó khăn khi diễn đạt mong muốn. Persona truyền thống thì tốn quá nhiều thời gian và chi phí khảo sát.
- Cơ chế: Proto-persona+ đóng vai trò vật trung gian nhận thức (boundary object) nhanh gọn, giúp các bên liên quan phi kỹ thuật kích hoạt tri thức trải nghiệm thực tế, truyền tải sự thấu cảm và bối cảnh sử dụng vào phác thảo giao diện mà không cần kỹ năng lập trình.</t>
        </is>
      </c>
      <c r="N7" s="14" t="inlineStr">
        <is>
          <t>Người ta áp dụng sao? (How?):
- Thiết kế thực nghiệm: Thực nghiệm 2 vòng (Round 1: Xây dựng proto-persona+ với 8 nhà sư phạm và 5 kỹ sư phần mềm; Round 2: 36 lập trình viên chia 18 cặp tiến hành tạo low-fidelity prototype/storyboards dựa trên các hồ sơ người dùng đó).
- Quy trình: Áp dụng khung 4 góc phần tư (nhân khẩu, mục tiêu, sở thích, khó khăn) kết hợp các câu hỏi dẫn dắt (guideline questions). Đánh giá chất lượng UX theo 6 chiều (truy cập, phương tiện, tổ chức, kích thích, giá trị, tương tác) và kiểm định mức độ chấp nhận công nghệ (TAM).</t>
        </is>
      </c>
      <c r="O7" s="14" t="inlineStr">
        <is>
          <t>Người ta chia thành mấy loại? (Taxonomy &amp; RQ6.3):
- Phân loại bên liên quan: Technical Stakeholders (Kỹ sư phần mềm) vs Non-technical Stakeholders (Nhà sư phạm / Giáo viên).
- Phân loại yêu cầu UX:
  + Kỹ thuật: Tập trung vào tính dễ dùng thực dụng (easiness of use, tránh ức chế, truy cập thiết bị).
  + Phi kỹ thuật: Đóng góp đột phá vào UX cảm xúc (enjoyment, fun, động lực học tập) và khả năng tiếp cận (người dùng khiếm thị, giảm chú ý ADHD).
  + Prototyping Support (RQ3): Cả hai góc nhìn bổ trợ cho nhau giúp lập trình viên thiết kế giao diện giàu tính nhân văn và hạn chế lỗi thiếu sót chức năng.</t>
        </is>
      </c>
      <c r="P7" s="14" t="inlineStr">
        <is>
          <t>https://doi.org/10.5753/jserd.2019.155</t>
        </is>
      </c>
      <c r="Q7" s="3" t="n"/>
      <c r="R7" s="3" t="n"/>
      <c r="S7" s="3" t="n"/>
      <c r="T7" s="3" t="n"/>
      <c r="U7" s="3" t="n"/>
      <c r="V7" s="3" t="n"/>
      <c r="W7" s="3" t="n"/>
      <c r="X7" s="3" t="n"/>
      <c r="Y7" s="3" t="n"/>
      <c r="Z7" s="3" t="n"/>
    </row>
    <row r="8" ht="22.5" customHeight="1" s="38">
      <c r="A8" s="18">
        <f>A7+1</f>
        <v/>
      </c>
      <c r="B8" s="18" t="inlineStr">
        <is>
          <t>antonelli2022iterative</t>
        </is>
      </c>
      <c r="C8" s="18" t="inlineStr">
        <is>
          <t>An Iterative and Collaborative Approach to Specify Scenarios using Natural Language</t>
        </is>
      </c>
      <c r="D8" s="18" t="inlineStr">
        <is>
          <t>L. Antonelli, J. Delle Ville, F. Dioguardi, and A. Fernandez et al. (2022)</t>
        </is>
      </c>
      <c r="E8" s="18" t="inlineStr">
        <is>
          <t>Proceedings of the 25th Workshop on Requirements Engineering (WER 2022)</t>
        </is>
      </c>
      <c r="F8" s="18" t="inlineStr">
        <is>
          <t>Downloaded (09_antonelli2022iterative_Natural_Language_Scenarios.pdf)</t>
        </is>
      </c>
      <c r="G8" s="18" t="inlineStr">
        <is>
          <t>https://doi.org/10.48550/arXiv.2209.00000</t>
        </is>
      </c>
      <c r="H8" s="18" t="inlineStr">
        <is>
          <t>Quy trình lặp và cộng tác (Iterative &amp; Collaborative) kết hợp giữa kịch bản ngôn ngữ tự nhiên (Natural Language Scenarios) và công cụ prototype tương tác được hỗ trợ bởi xử lý ngôn ngữ tự nhiên (NLP) và đồ thị tri thức (Knowledge Graph).</t>
        </is>
      </c>
      <c r="I8" s="18" t="inlineStr">
        <is>
          <t>Loại bỏ xung đột diễn giải (conflicting interpretations) trong tài liệu văn bản; phát hiện các bẫy ngôn từ gây mơ hồ (phó từ mơ hồ, từ suy đoán could/should/might) và khai quật các luồng xử lý ngoại lệ bị bỏ sót (missing alternative/exceptional flows).</t>
        </is>
      </c>
      <c r="J8" s="18" t="inlineStr">
        <is>
          <t>Làm rõ xuất sắc nhóm Yêu cầu Chức năng (Functional Logic), Luồng quy trình nghiệp vụ (Business Rules), và Kịch bản ca sử dụng (Use Case Scenarios). Hạn chế sự mơ hồ về ngữ nghĩa và điều kiện rẽ nhánh.</t>
        </is>
      </c>
      <c r="K8" s="18" t="inlineStr">
        <is>
          <t>Đánh giá thực nghiệm quy trình viết và thẩm định kịch bản bằng thang đo SUS (System Usability Scale) đạt điểm số 70.53 (mức Acceptable). 4 quy tắc kiểm chứng tự động giúp bóc tách triệt để các câu điều kiện thiếu Else, lựa chọn Or chưa phân nhánh, và từ ngữ ước chừng.</t>
        </is>
      </c>
      <c r="L8" s="18" t="inlineStr">
        <is>
          <t>Công cụ phần mềm hỗ trợ là prototype thử nghiệm; nghiên cứu thực nghiệm cần mở rộng cỡ mẫu đánh giá trên các dự án quy mô công nghiệp lớn.</t>
        </is>
      </c>
      <c r="M8" s="14" t="inlineStr">
        <is>
          <t>Tại sao lại cần Prototype kết hợp Kịch bản ngôn ngữ tự nhiên? (Why?):
- Bối cảnh &amp; Vấn đề: Kịch bản (Scenarios / Use Cases) viết bằng ngôn ngữ tự nhiên luôn chứa đầy bẫy ngôn từ: phó từ mơ hồ, từ ước chừng (could, might, should), điều kiện If thiếu Else, và lựa chọn Or không phân nhánh. Khách hàng và lập trình viên đọc cùng một câu nhưng hình dung ra 2 hệ thống khác nhau.
- Cơ chế: Prototype tương tác đóng vai trò vật đối chiếu trực quan trong chu trình lặp (collaborative loop). Khi người dùng bấm thử trên màn hình, các câu chữ mơ hồ và các nhánh ngoại lệ bị bỏ quên lập tức lộ diện.</t>
        </is>
      </c>
      <c r="N8" s="14" t="inlineStr">
        <is>
          <t>Người ta áp dụng sao? (How?):
- Thiết kế thực nghiệm: Quy trình 4 bước viết kịch bản tăng dần (tiêu đề, bối cảnh, mục tiêu -&gt; hành động -&gt; tác nhân &amp; tài nguyên -&gt; rà soát luồng ngoại lệ) kết hợp 4 quy tắc kiểm chứng tự động bằng công cụ Prototype NLP/Knowledge Graph.
- Đánh giá: Sử dụng khảo sát 10 câu hỏi chuẩn System Usability Scale (SUS) trên nhóm chuyên gia để kiểm định khả năng áp dụng và độ tiện dụng trong việc xóa bỏ xung đột yêu cầu.</t>
        </is>
      </c>
      <c r="O8" s="14" t="inlineStr">
        <is>
          <t>Người ta chia thành mấy loại? (Taxonomy &amp; RQ6.3):
- Phân loại lỗi văn bản: Bẫy phó từ (Adverbs), Bẫy điều kiện thiếu (Incomplete conditions), Bẫy lựa chọn thay thế (Alternatives), Bẫy ngôn từ suy đoán (Speculative modal verbs).
- Loại yêu cầu làm rõ: Functional Requirements, Business Logic, và Use Case Scenarios.
- Thước đo: Thang đo SUS đạt 70.53 điểm (Acceptable).</t>
        </is>
      </c>
      <c r="P8" s="14" t="inlineStr">
        <is>
          <t>WER 2022</t>
        </is>
      </c>
      <c r="Q8" s="3" t="n"/>
      <c r="R8" s="3" t="n"/>
      <c r="S8" s="3" t="n"/>
      <c r="T8" s="3" t="n"/>
      <c r="U8" s="3" t="n"/>
      <c r="V8" s="3" t="n"/>
      <c r="W8" s="3" t="n"/>
      <c r="X8" s="3" t="n"/>
      <c r="Y8" s="3" t="n"/>
      <c r="Z8" s="3" t="n"/>
    </row>
    <row r="9" ht="22.5" customHeight="1" s="38">
      <c r="A9" s="18">
        <f>A8+1</f>
        <v/>
      </c>
      <c r="B9" s="18" t="inlineStr">
        <is>
          <t>bano2023videos</t>
        </is>
      </c>
      <c r="C9" s="18" t="inlineStr">
        <is>
          <t>Can Videos be Used to Communicate Non-functional Requirements? An Early Empirical Investigation</t>
        </is>
      </c>
      <c r="D9" s="18" t="inlineStr">
        <is>
          <t>S. Kopczyńska and J. Shi (2023)</t>
        </is>
      </c>
      <c r="E9" s="18" t="inlineStr">
        <is>
          <t>IEEE 31st International Requirements Engineering Conference (RE@Next 2023), pp. 112–117</t>
        </is>
      </c>
      <c r="F9" s="18" t="inlineStr">
        <is>
          <t>Published (IEEE Xplore Paywalled / DOI: 10.1109/REW57880.2023.00028)</t>
        </is>
      </c>
      <c r="G9" s="18" t="inlineStr">
        <is>
          <t>https://doi.org/10.1109/REW57880.2023.00028</t>
        </is>
      </c>
      <c r="H9" s="18" t="inlineStr">
        <is>
          <t>Khảo sát việc sử dụng video tầm nhìn (Vision Videos / Video Prototyping) như một phương thức tạo mẫu đa phương tiện (multimedia prototype) để truyền đạt và khơi gợi các thuộc tính chất lượng phần mềm trước khi phát triển.</t>
        </is>
      </c>
      <c r="I9" s="18" t="inlineStr">
        <is>
          <t>Khắc phục hạn chế của đặc tả văn bản trừu tượng và bản vẽ giấy tĩnh (vốn không thể mô phỏng thời gian và môi trường thực tế); video kết hợp hình ảnh, phản ứng người dùng và thuyết minh giúp các bên liên quan dễ dàng nhận diện và thống nhất các yêu cầu phi chức năng (NFRs).</t>
        </is>
      </c>
      <c r="J9" s="18" t="inlineStr">
        <is>
          <t>Làm rõ xuất sắc nhóm Yêu cầu Phi chức năng (NFRs), nổi bật nhất là 3 nhóm: Thời gian đáp ứng / Hiệu năng (Time behavior / Performance), Tính tương tác liên thông (Interoperability), và Tính khả dụng trong bối cảnh thực (Usability in context).</t>
        </is>
      </c>
      <c r="K9" s="18" t="inlineStr">
        <is>
          <t>Nghiên cứu thực nghiệm trên 5 video tầm nhìn sản phẩm. Xác định 3 cơ chế truyền tải NFRs chính: phản ứng người dùng (user reactions), thuyết minh (voiceover/narrator), và phụ đề thông số (text captions). Chứng minh video là phương tiện bổ trợ khả thi và hiệu quả để lôi NFRs ra khỏi điểm mù.</t>
        </is>
      </c>
      <c r="L9" s="18" t="inlineStr">
        <is>
          <t>Nghiên cứu thực nghiệm giai đoạn đầu (early empirical investigation) với cỡ mẫu 5 video; video có nguy cơ mang tính quảng bá (marketing bias) và khó đo lường định lượng chi tiết hơn văn bản kỹ thuật.</t>
        </is>
      </c>
      <c r="M9" s="14" t="inlineStr">
        <is>
          <t>Tại sao lại cần Video Prototyping cho NFRs? (Why?):
- Bối cảnh &amp; Vấn đề: Bản vẽ giấy (Paper Mockups) và đặc tả văn bản chữ hoàn toàn "bó tay" khi mô tả NFRs (như tốc độ tải, độ trễ mạng, thao tác khi đang di chuyển ngoài đường). Khách hàng nhìn giấy chỉ thấy nút bấm mà quên sạch yêu cầu chất lượng (hiệu ứng Visual Bias).
- Cơ chế: Video Prototyping cung cấp bối cảnh đa giác quan (hình ảnh động + âm thanh hiện trường + phụ đề thông số). Khách hàng nhìn thấy biểu cảm của người dùng khi gặp trễ mạng, từ đó kích hoạt nhận thức về các yêu cầu phi chức năng.</t>
        </is>
      </c>
      <c r="N9" s="14" t="inlineStr">
        <is>
          <t>Người ta áp dụng sao? (How?):
- Thiết kế thực nghiệm: Phân tích thực nghiệm trên 5 video tầm nhìn sản phẩm (Vision Videos) trong kỹ nghệ phần mềm để khám phá cách thức các thuộc tính chất lượng được biểu đạt.
- Phương pháp biểu đạt: Kết hợp 3 kỹ thuật: (1) Biểu cảm và hành vi của người dùng thực tế; (2) Giọng đọc thuyết minh (Voiceover); (3) Phụ đề và chỉ số đo lường hiển thị trực tiếp trên video.</t>
        </is>
      </c>
      <c r="O9" s="14" t="inlineStr">
        <is>
          <t>Người ta chia thành mấy loại? (Taxonomy &amp; RQ6.3):
- Phân loại NFRs truyền tải tốt nhất:
  + Hiệu năng &amp; Thời gian đáp ứng (Time behavior / Performance).
  + Khả năng tương thích &amp; Đồng bộ thiết bị (Interoperability).
  + Tính khả dụng trong bối cảnh vận hành thực tế (Usability in context).
- Loại phương tiện: Rich Multimedia / Video Prototyping (bổ khuyết vào khoảng trống mà Paper và Source Code Prototyping để lại).</t>
        </is>
      </c>
      <c r="P9" s="14" t="inlineStr">
        <is>
          <t>https://doi.org/10.1109/REW57880.2023.00028</t>
        </is>
      </c>
      <c r="Q9" s="3" t="n"/>
      <c r="R9" s="3" t="n"/>
      <c r="S9" s="3" t="n"/>
      <c r="T9" s="3" t="n"/>
      <c r="U9" s="3" t="n"/>
      <c r="V9" s="3" t="n"/>
      <c r="W9" s="3" t="n"/>
      <c r="X9" s="3" t="n"/>
      <c r="Y9" s="3" t="n"/>
      <c r="Z9" s="3" t="n"/>
    </row>
    <row r="10" ht="22.5" customHeight="1" s="38">
      <c r="A10" s="18">
        <f>A9+1</f>
        <v/>
      </c>
      <c r="B10" s="18" t="inlineStr">
        <is>
          <t>gupta2022strategic</t>
        </is>
      </c>
      <c r="C10" s="18" t="inlineStr">
        <is>
          <t>Strategic prototyping technology adoption in startups: framework, challenges, and opportunities</t>
        </is>
      </c>
      <c r="D10" s="18" t="inlineStr">
        <is>
          <t>V. Gupta, E. Bjarnason, and C. Gupta (2022)</t>
        </is>
      </c>
      <c r="E10" s="18" t="inlineStr">
        <is>
          <t>IT Professional (IEEE Computer Society), Vol. 24, No. 5, pp. 36–43</t>
        </is>
      </c>
      <c r="F10" s="18" t="inlineStr">
        <is>
          <t>Published (IEEE Xplore Paywalled / DOI: 10.1109/MITP.2022.3188562)</t>
        </is>
      </c>
      <c r="G10" s="18" t="inlineStr">
        <is>
          <t>https://doi.org/10.1109/MITP.2022.3188562</t>
        </is>
      </c>
      <c r="H10" s="18" t="inlineStr">
        <is>
          <t>Mở rộng mô hình PAM (Prototyping Anchor Model) vào bối cảnh các công ty khởi nghiệp công nghệ (startups). Xây dựng khung định hướng việc lựa chọn và tiếp nhận công nghệ tạo mẫu (prototyping technologies) mang tính chiến lược, giúp startup đối phó với sự biến động yêu cầu liên tục (requirements volatility) và nguy cơ pivot.</t>
        </is>
      </c>
      <c r="I10" s="18" t="inlineStr">
        <is>
          <t>Startups vận hành dưới áp lực thị trường mơ hồ và nguồn lực hạn hẹp; prototyping đóng vai trò hạt nhân để kiểm chứng nhanh các giả định nghiệp vụ (business assumptions) và hạn chế làm lại (rework). Tuy nhiên, nếu thiếu chiến lược chọn công cụ, startup dễ rơi vào bẫy đóng băng ý tưởng quá sớm (premature idea cementing) hoặc gánh nặng nợ kỹ thuật mẫu (prototype debt).</t>
        </is>
      </c>
      <c r="J10" s="18" t="inlineStr">
        <is>
          <t>Làm rõ xuất sắc: Tính khả thi của mô hình kinh doanh (Business Model Viability), Luồng thao tác của khách hàng (Customer Flows/Tasks) và Bằng chứng khả thi kỹ thuật (PoC). Thường bị bỏ qua nghiêm trọng: Toàn bộ nhóm Yêu cầu Phi chức năng (NFRs như Scalability, Bảo mật, Kiến trúc dài hạn) do áp lực tốc độ ra mắt sản phẩm (speed-to-market).</t>
        </is>
      </c>
      <c r="K10" s="18" t="inlineStr">
        <is>
          <t>Nghiên cứu khung khái niệm (conceptual framework) kết hợp đối sánh dữ liệu thực tiễn từ các trường hợp startup áp dụng mô hình PAM. Phân tích 4 trụ cột tiếp nhận công nghệ: chi phí đầu tư, tốc độ học hỏi (learning curve), dải độ trung thực (fidelity range) và khả năng tích hợp công nghệ.</t>
        </is>
      </c>
      <c r="L10" s="18" t="inlineStr">
        <is>
          <t>Khung nghiên cứu mang tính định tính và định hướng chiến lược; cần mở rộng kiểm chứng thực nghiệm định lượng về tỷ lệ thành công/sống sót và ROI của các startup công nghệ áp dụng khung này.</t>
        </is>
      </c>
      <c r="M10" s="14" t="inlineStr">
        <is>
          <t>Tại sao Startup cần Prototyping chiến lược? (Why?):
- Bối cảnh &amp; Vấn đề: Startups đối mặt với sự bất định tột độ về thị trường và rủi ro thất bại cao. Yêu cầu phần mềm không cố định mà thay đổi liên tục theo từng lần "chuyển hướng" (pivoting). Nguồn lực tài chính và thời gian cực kỳ hạn hẹp, không thể viết tài liệu đặc tả dày cộp.
- Thách thức &amp; Cơ chế: Nếu chọn công cụ tạo mẫu tùy tiện (chỉ theo trào lưu hoặc công cụ miễn phí nhưng kém linh hoạt), startup sẽ bị kẹt giữa hai rủi ro: vẽ giấy quá sơ sài thì không kiểm chứng được với nhà đầu tư, còn code bằng mã nguồn thật quá sớm thì bị "đóng băng ý tưởng" (Premature Idea Cementing) và gánh nợ kỹ thuật (Prototype Debt) khi phải đập đi xây lại.</t>
        </is>
      </c>
      <c r="N10" s="14" t="inlineStr">
        <is>
          <t>Startups áp dụng Prototyping như thế nào? (How?):
- Tích hợp khung PAM: Định vị công nghệ tạo mẫu theo 5 chiều của PAM (Mục đích, Phạm vi, Phương tiện, Thói quen dùng, và Chiến lược thăm dò) gắn chặt với từng giai đoạn phát triển của startup (khám phá ý tưởng -&gt; kiểm chứng thị trường -&gt; mở rộng quy mô).
- Quy trình tiếp nhận 3 bước: (1) Nhận diện các yếu tố tác động (chi phí, đường cong học hỏi, tính cộng tác, dải độ trung thực); (2) Thu thập thông tin và đánh giá công cụ tạo mẫu đối chiếu giữa nhu cầu kiểm chứng ngắn hạn và khả năng mở rộng dài hạn; (3) Ra quyết định chiến lược chuẩn hóa bộ công cụ tạo mẫu thay vì tiếp cận chắp vá theo cảm tính.</t>
        </is>
      </c>
      <c r="O10" s="14" t="inlineStr">
        <is>
          <t>Người ta chia thành mấy loại? (Taxonomy &amp; RQ6.3):
- Phân loại yêu cầu được làm rõ tốt nhất:
  + Giả định kinh doanh &amp; Giá trị cốt lõi (Core Business Assumptions &amp; Value Proposition).
  + Luồng thao tác tối thiểu của khách hàng (Customer Minimum Viable Flows).
  + Tính khả thi kỹ thuật sơ bộ (Proof-of-Concept / Technical Feasibility).
- Điểm mù NFRs trong Startups: Do áp lực sống còn "speed-to-market", các startup hầu như bỏ qua NFRs (bảo mật, hiệu năng tải lớn, khả năng bảo trì). Khi mẫu prototype nhanh được chuyển hóa thẳng thành sản phẩm thương mại, toàn bộ NFRs bị thiếu hụt sẽ gây đổ vỡ hệ thống.</t>
        </is>
      </c>
      <c r="P10" s="14" t="inlineStr">
        <is>
          <t>https://doi.org/10.1109/MITP.2022.3188562</t>
        </is>
      </c>
      <c r="Q10" s="3" t="n"/>
      <c r="R10" s="3" t="n"/>
      <c r="S10" s="3" t="n"/>
      <c r="T10" s="3" t="n"/>
      <c r="U10" s="3" t="n"/>
      <c r="V10" s="3" t="n"/>
      <c r="W10" s="3" t="n"/>
      <c r="X10" s="3" t="n"/>
      <c r="Y10" s="3" t="n"/>
      <c r="Z10" s="3" t="n"/>
    </row>
    <row r="11" ht="22.5" customHeight="1" s="38">
      <c r="A11" s="18">
        <f>A10+1</f>
        <v/>
      </c>
      <c r="B11" s="18" t="inlineStr">
        <is>
          <t>acm2022proposal</t>
        </is>
      </c>
      <c r="C11" s="18" t="inlineStr">
        <is>
          <t>A Proposal for Enhancing Agile Requirements Engineering with Prototyping and Enriched User Stories</t>
        </is>
      </c>
      <c r="D11" s="18" t="inlineStr">
        <is>
          <t>N. Keshk, M. El-Ramly, and A. Salah (2022)</t>
        </is>
      </c>
      <c r="E11" s="18" t="inlineStr">
        <is>
          <t>ACM FAMECSE '22 (Federated Africa and Middle East Conference on Software Engineering), pp. 59–63</t>
        </is>
      </c>
      <c r="F11" s="18" t="inlineStr">
        <is>
          <t>Downloaded (12_acm2022proposal_Agile_Enriched_User_Stories.pdf)</t>
        </is>
      </c>
      <c r="G11" s="18" t="inlineStr">
        <is>
          <t>https://doi.org/10.1145/3531056.3542773</t>
        </is>
      </c>
      <c r="H11" s="18" t="inlineStr">
        <is>
          <t>Đề xuất mô hình lai (Hybrid ARE Process) kết hợp Prototyping độ trung thực cao (High-fidelity Mockups) và Câu chuyện người dùng mở rộng (Enriched User Stories) để tích hợp vào quy trình Agile Scrum, giải quyết bài toán thiếu hụt tài liệu và bất đồng cách hiểu.</t>
        </is>
      </c>
      <c r="I11" s="18" t="inlineStr">
        <is>
          <t>User Stories truyền thống quá ngắn và mơ hồ, dẫn đến hiểu lầm và làm lại (rework) nghiêm trọng cuối Sprint. Việc cho PO và UI/UX Designer tạo prototype và viết Enriched User Story chạy trước đội lập trình ít nhất 1 Sprint (precede by at least one sprint) giúp giảm 30-40% rework mà không làm chậm nhịp độ Agile.</t>
        </is>
      </c>
      <c r="J11" s="18" t="inlineStr">
        <is>
          <t>Làm rõ xuất sắc: Luồng giao diện (UI Flows), Ràng buộc phi chức năng trong tiêu chí chấp nhận (NFR Acceptance Criteria), và Từ điển dữ liệu (Data Dictionary). Ngăn ngừa việc bỏ quên NFRs vốn là điểm yếu cố hữu của User Stories thông thường.</t>
        </is>
      </c>
      <c r="K11" s="18" t="inlineStr">
        <is>
          <t>Nghiên cứu đề xuất quy trình nâng cao gồm 8 bước tăng dần (từ Business Process Model, UI Mockup, Enriched User Story đến Backlog Grooming) dựa trên việc tổng hợp và giải quyết 17 thách thức của Agile RE từ các nghiên cứu thực nghiệm trước đó.</t>
        </is>
      </c>
      <c r="L11" s="18" t="inlineStr">
        <is>
          <t>Mô hình đề xuất dựa trên khung khái niệm và bài học kinh nghiệm; nhóm tác giả đang triển khai thử nghiệm trên dự án quy mô lớn và khảo sát chuyên gia để thu thập thêm số liệu định lượng chi tiết.</t>
        </is>
      </c>
      <c r="M11" s="14" t="inlineStr">
        <is>
          <t>Tại sao cần Prototype &amp; Enriched User Story trong Agile? (Why?):
- Bối cảnh &amp; Vấn đề: Agile chủ trương giảm thiểu tài liệu văn bản, chỉ dùng User Stories ngắn gọn. Tuy nhiên, lập trình viên không thể hình dung màn hình trông như thế nào và luồng dữ liệu ra sao; khách hàng chỉ nhận ra sai lệch khi sản phẩm được giao cuối Sprint, dẫn đến khối lượng làm lại (rework) khổng lồ.
- Giải pháp: Cần một cầu nối trực quan và cụ thể hóa yêu cầu mà không phá vỡ tính linh hoạt của Agile.</t>
        </is>
      </c>
      <c r="N11" s="14" t="inlineStr">
        <is>
          <t>Quy trình lai 8 bước triển khai thế nào? (How?):
- Nguyên tắc sống còn: PO và UI/UX Designer chạy song song và PHẢI ĐI TRƯỚC ĐỘI DEV ÍT NHẤT 1 SPRINT (Sprint N-1).
- 8 bước: (1) Sơ đồ quy trình nghiệp vụ tổng thể; (2) Chọn tính năng ưu tiên; (3) Dựng High-fi Mockups bằng tool chuyên nghiệp (Adobe XD/Figma); (4) Validate với khách hàng; (5) Validate tính khả thi với Dev; (6) Viết Enriched User Story (kèm NFRs, Data Dictionary, Prototype); (7) Khách hàng duyệt lần 2; (8) Đưa vào Backlog sẵn sàng cho Sprint N.</t>
        </is>
      </c>
      <c r="O11" s="14" t="inlineStr">
        <is>
          <t>Phân loại yêu cầu &amp; Tác động (Taxonomy &amp; RQ6.3):
- Khắc phục điểm mù NFR trong Agile: Biến các yêu cầu phi chức năng (bảo mật, kiểm tra tính hợp lệ dữ liệu, hiệu năng) thành các Tiêu chí chấp nhận nâng cao (Enhanced Acceptance Criteria) gắn chặt vào từng User Story.
- Trực quan hóa UI/UX: High-fidelity Mockup giúp lập trình viên biết chính xác bảng dữ liệu và thành phần giao diện cần tác động.</t>
        </is>
      </c>
      <c r="P11" s="14" t="inlineStr">
        <is>
          <t>https://doi.org/10.1145/3531056.3542773</t>
        </is>
      </c>
      <c r="Q11" s="3" t="n"/>
      <c r="R11" s="3" t="n"/>
      <c r="S11" s="3" t="n"/>
      <c r="T11" s="3" t="n"/>
      <c r="U11" s="3" t="n"/>
      <c r="V11" s="3" t="n"/>
      <c r="W11" s="3" t="n"/>
      <c r="X11" s="3" t="n"/>
      <c r="Y11" s="3" t="n"/>
      <c r="Z11" s="3" t="n"/>
    </row>
    <row r="12" ht="22.5" customHeight="1" s="38">
      <c r="A12" s="18">
        <f>A11+1</f>
        <v/>
      </c>
      <c r="B12" s="18" t="n"/>
      <c r="C12" s="18" t="n"/>
      <c r="D12" s="18" t="n"/>
      <c r="E12" s="18" t="n"/>
      <c r="F12" s="18" t="n"/>
      <c r="G12" s="18" t="n"/>
      <c r="H12" s="18" t="n"/>
      <c r="I12" s="18" t="n"/>
      <c r="J12" s="18" t="n"/>
      <c r="K12" s="18" t="n"/>
      <c r="L12" s="18" t="n"/>
      <c r="M12" s="14" t="n"/>
      <c r="N12" s="14" t="n"/>
      <c r="O12" s="14" t="n"/>
      <c r="P12" s="14" t="n"/>
      <c r="Q12" s="3" t="n"/>
      <c r="R12" s="3" t="n"/>
      <c r="S12" s="3" t="n"/>
      <c r="T12" s="3" t="n"/>
      <c r="U12" s="3" t="n"/>
      <c r="V12" s="3" t="n"/>
      <c r="W12" s="3" t="n"/>
      <c r="X12" s="3" t="n"/>
      <c r="Y12" s="3" t="n"/>
      <c r="Z12" s="3" t="n"/>
    </row>
    <row r="13" ht="22.5" customHeight="1" s="38">
      <c r="A13" s="18">
        <f>A12+1</f>
        <v/>
      </c>
      <c r="B13" s="18" t="n"/>
      <c r="C13" s="18" t="n"/>
      <c r="D13" s="18" t="n"/>
      <c r="E13" s="18" t="n"/>
      <c r="F13" s="18" t="n"/>
      <c r="G13" s="18" t="n"/>
      <c r="H13" s="18" t="n"/>
      <c r="I13" s="18" t="n"/>
      <c r="J13" s="18" t="n"/>
      <c r="K13" s="18" t="n"/>
      <c r="L13" s="18" t="n"/>
      <c r="M13" s="14" t="n"/>
      <c r="N13" s="14" t="n"/>
      <c r="O13" s="14" t="n"/>
      <c r="P13" s="14" t="n"/>
      <c r="Q13" s="3" t="n"/>
      <c r="R13" s="3" t="n"/>
      <c r="S13" s="3" t="n"/>
      <c r="T13" s="3" t="n"/>
      <c r="U13" s="3" t="n"/>
      <c r="V13" s="3" t="n"/>
      <c r="W13" s="3" t="n"/>
      <c r="X13" s="3" t="n"/>
      <c r="Y13" s="3" t="n"/>
      <c r="Z13" s="3" t="n"/>
    </row>
    <row r="14" ht="22.5" customHeight="1" s="38">
      <c r="A14" s="18">
        <f>A13+1</f>
        <v/>
      </c>
      <c r="B14" s="18" t="n"/>
      <c r="C14" s="18" t="n"/>
      <c r="D14" s="18" t="n"/>
      <c r="E14" s="18" t="n"/>
      <c r="F14" s="18" t="n"/>
      <c r="G14" s="18" t="n"/>
      <c r="H14" s="18" t="n"/>
      <c r="I14" s="18" t="n"/>
      <c r="J14" s="18" t="n"/>
      <c r="K14" s="18" t="n"/>
      <c r="L14" s="18" t="n"/>
      <c r="M14" s="14" t="n"/>
      <c r="N14" s="14" t="n"/>
      <c r="O14" s="14" t="n"/>
      <c r="P14" s="14" t="n"/>
      <c r="Q14" s="3" t="n"/>
      <c r="R14" s="3" t="n"/>
      <c r="S14" s="3" t="n"/>
      <c r="T14" s="3" t="n"/>
      <c r="U14" s="3" t="n"/>
      <c r="V14" s="3" t="n"/>
      <c r="W14" s="3" t="n"/>
      <c r="X14" s="3" t="n"/>
      <c r="Y14" s="3" t="n"/>
      <c r="Z14" s="3" t="n"/>
    </row>
    <row r="15" ht="22.5" customHeight="1" s="38">
      <c r="A15" s="18">
        <f>A14+1</f>
        <v/>
      </c>
      <c r="B15" s="18" t="n"/>
      <c r="C15" s="18" t="n"/>
      <c r="D15" s="18" t="n"/>
      <c r="E15" s="18" t="n"/>
      <c r="F15" s="18" t="n"/>
      <c r="G15" s="18" t="n"/>
      <c r="H15" s="18" t="n"/>
      <c r="I15" s="18" t="n"/>
      <c r="J15" s="18" t="n"/>
      <c r="K15" s="18" t="n"/>
      <c r="L15" s="18" t="n"/>
      <c r="M15" s="14" t="n"/>
      <c r="N15" s="14" t="n"/>
      <c r="O15" s="14" t="n"/>
      <c r="P15" s="14" t="n"/>
      <c r="Q15" s="3" t="n"/>
      <c r="R15" s="3" t="n"/>
      <c r="S15" s="3" t="n"/>
      <c r="T15" s="3" t="n"/>
      <c r="U15" s="3" t="n"/>
      <c r="V15" s="3" t="n"/>
      <c r="W15" s="3" t="n"/>
      <c r="X15" s="3" t="n"/>
      <c r="Y15" s="3" t="n"/>
      <c r="Z15" s="3" t="n"/>
    </row>
    <row r="16" ht="22.5" customHeight="1" s="38">
      <c r="A16" s="18">
        <f>A15+1</f>
        <v/>
      </c>
      <c r="B16" s="18" t="n"/>
      <c r="C16" s="18" t="n"/>
      <c r="D16" s="18" t="n"/>
      <c r="E16" s="18" t="n"/>
      <c r="F16" s="18" t="n"/>
      <c r="G16" s="18" t="n"/>
      <c r="H16" s="18" t="n"/>
      <c r="I16" s="18" t="n"/>
      <c r="J16" s="18" t="n"/>
      <c r="K16" s="18" t="n"/>
      <c r="L16" s="18" t="n"/>
      <c r="M16" s="14" t="n"/>
      <c r="N16" s="14" t="n"/>
      <c r="O16" s="14" t="n"/>
      <c r="P16" s="14" t="n"/>
      <c r="Q16" s="3" t="n"/>
      <c r="R16" s="3" t="n"/>
      <c r="S16" s="3" t="n"/>
      <c r="T16" s="3" t="n"/>
      <c r="U16" s="3" t="n"/>
      <c r="V16" s="3" t="n"/>
      <c r="W16" s="3" t="n"/>
      <c r="X16" s="3" t="n"/>
      <c r="Y16" s="3" t="n"/>
      <c r="Z16" s="3" t="n"/>
    </row>
    <row r="17" ht="22.5" customHeight="1" s="38">
      <c r="A17" s="18">
        <f>A16+1</f>
        <v/>
      </c>
      <c r="B17" s="18" t="n"/>
      <c r="C17" s="18" t="n"/>
      <c r="D17" s="18" t="n"/>
      <c r="E17" s="18" t="n"/>
      <c r="F17" s="18" t="n"/>
      <c r="G17" s="18" t="n"/>
      <c r="H17" s="18" t="n"/>
      <c r="I17" s="18" t="n"/>
      <c r="J17" s="18" t="n"/>
      <c r="K17" s="18" t="n"/>
      <c r="L17" s="18" t="n"/>
      <c r="M17" s="14" t="n"/>
      <c r="N17" s="14" t="n"/>
      <c r="O17" s="14" t="n"/>
      <c r="P17" s="14" t="n"/>
      <c r="Q17" s="3" t="n"/>
      <c r="R17" s="3" t="n"/>
      <c r="S17" s="3" t="n"/>
      <c r="T17" s="3" t="n"/>
      <c r="U17" s="3" t="n"/>
      <c r="V17" s="3" t="n"/>
      <c r="W17" s="3" t="n"/>
      <c r="X17" s="3" t="n"/>
      <c r="Y17" s="3" t="n"/>
      <c r="Z17" s="3" t="n"/>
    </row>
    <row r="18" ht="22.5" customHeight="1" s="38">
      <c r="A18" s="18">
        <f>A17+1</f>
        <v/>
      </c>
      <c r="B18" s="18" t="n"/>
      <c r="C18" s="18" t="n"/>
      <c r="D18" s="18" t="n"/>
      <c r="E18" s="18" t="n"/>
      <c r="F18" s="18" t="n"/>
      <c r="G18" s="18" t="n"/>
      <c r="H18" s="18" t="n"/>
      <c r="I18" s="18" t="n"/>
      <c r="J18" s="18" t="n"/>
      <c r="K18" s="18" t="n"/>
      <c r="L18" s="18" t="n"/>
      <c r="M18" s="14" t="n"/>
      <c r="N18" s="14" t="n"/>
      <c r="O18" s="14" t="n"/>
      <c r="P18" s="14" t="n"/>
      <c r="Q18" s="3" t="n"/>
      <c r="R18" s="3" t="n"/>
      <c r="S18" s="3" t="n"/>
      <c r="T18" s="3" t="n"/>
      <c r="U18" s="3" t="n"/>
      <c r="V18" s="3" t="n"/>
      <c r="W18" s="3" t="n"/>
      <c r="X18" s="3" t="n"/>
      <c r="Y18" s="3" t="n"/>
      <c r="Z18" s="3" t="n"/>
    </row>
    <row r="19" ht="22.5" customHeight="1" s="38">
      <c r="A19" s="18">
        <f>A18+1</f>
        <v/>
      </c>
      <c r="B19" s="18" t="n"/>
      <c r="C19" s="18" t="n"/>
      <c r="D19" s="18" t="n"/>
      <c r="E19" s="18" t="n"/>
      <c r="F19" s="18" t="n"/>
      <c r="G19" s="18" t="n"/>
      <c r="H19" s="18" t="n"/>
      <c r="I19" s="18" t="n"/>
      <c r="J19" s="18" t="n"/>
      <c r="K19" s="18" t="n"/>
      <c r="L19" s="18" t="n"/>
      <c r="M19" s="14" t="n"/>
      <c r="N19" s="14" t="n"/>
      <c r="O19" s="14" t="n"/>
      <c r="P19" s="14" t="n"/>
      <c r="Q19" s="3" t="n"/>
      <c r="R19" s="3" t="n"/>
      <c r="S19" s="3" t="n"/>
      <c r="T19" s="3" t="n"/>
      <c r="U19" s="3" t="n"/>
      <c r="V19" s="3" t="n"/>
      <c r="W19" s="3" t="n"/>
      <c r="X19" s="3" t="n"/>
      <c r="Y19" s="3" t="n"/>
      <c r="Z19" s="3" t="n"/>
    </row>
    <row r="20" ht="22.5" customHeight="1" s="38">
      <c r="A20" s="18">
        <f>A19+1</f>
        <v/>
      </c>
      <c r="B20" s="18" t="n"/>
      <c r="C20" s="18" t="n"/>
      <c r="D20" s="18" t="n"/>
      <c r="E20" s="18" t="n"/>
      <c r="F20" s="18" t="n"/>
      <c r="G20" s="18" t="n"/>
      <c r="H20" s="18" t="n"/>
      <c r="I20" s="18" t="n"/>
      <c r="J20" s="18" t="n"/>
      <c r="K20" s="18" t="n"/>
      <c r="L20" s="18" t="n"/>
      <c r="M20" s="14" t="n"/>
      <c r="N20" s="14" t="n"/>
      <c r="O20" s="14" t="n"/>
      <c r="P20" s="14" t="n"/>
      <c r="Q20" s="3" t="n"/>
      <c r="R20" s="3" t="n"/>
      <c r="S20" s="3" t="n"/>
      <c r="T20" s="3" t="n"/>
      <c r="U20" s="3" t="n"/>
      <c r="V20" s="3" t="n"/>
      <c r="W20" s="3" t="n"/>
      <c r="X20" s="3" t="n"/>
      <c r="Y20" s="3" t="n"/>
      <c r="Z20" s="3" t="n"/>
    </row>
    <row r="21" ht="22.5" customHeight="1" s="38">
      <c r="A21" s="18">
        <f>A20+1</f>
        <v/>
      </c>
      <c r="B21" s="18" t="n"/>
      <c r="C21" s="18" t="n"/>
      <c r="D21" s="18" t="n"/>
      <c r="E21" s="18" t="n"/>
      <c r="F21" s="18" t="n"/>
      <c r="G21" s="18" t="n"/>
      <c r="H21" s="18" t="n"/>
      <c r="I21" s="18" t="n"/>
      <c r="J21" s="18" t="n"/>
      <c r="K21" s="18" t="n"/>
      <c r="L21" s="18" t="n"/>
      <c r="M21" s="14" t="n"/>
      <c r="N21" s="14" t="n"/>
      <c r="O21" s="14" t="n"/>
      <c r="P21" s="14" t="n"/>
      <c r="Q21" s="3" t="n"/>
      <c r="R21" s="3" t="n"/>
      <c r="S21" s="3" t="n"/>
      <c r="T21" s="3" t="n"/>
      <c r="U21" s="3" t="n"/>
      <c r="V21" s="3" t="n"/>
      <c r="W21" s="3" t="n"/>
      <c r="X21" s="3" t="n"/>
      <c r="Y21" s="3" t="n"/>
      <c r="Z21" s="3" t="n"/>
    </row>
    <row r="22" ht="22.5" customHeight="1" s="38">
      <c r="A22" s="18">
        <f>A21+1</f>
        <v/>
      </c>
      <c r="B22" s="18" t="n"/>
      <c r="C22" s="18" t="n"/>
      <c r="D22" s="18" t="n"/>
      <c r="E22" s="18" t="n"/>
      <c r="F22" s="18" t="n"/>
      <c r="G22" s="18" t="n"/>
      <c r="H22" s="18" t="n"/>
      <c r="I22" s="18" t="n"/>
      <c r="J22" s="18" t="n"/>
      <c r="K22" s="18" t="n"/>
      <c r="L22" s="18" t="n"/>
      <c r="M22" s="14" t="n"/>
      <c r="N22" s="14" t="n"/>
      <c r="O22" s="14" t="n"/>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2026-10-16T15:40:35Z</dcterms:modified>
</cp:coreProperties>
</file>